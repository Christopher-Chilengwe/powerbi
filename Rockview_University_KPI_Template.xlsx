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4" customWidth="1" min="3" max="3"/>
    <col width="12" customWidth="1" min="4" max="4"/>
    <col width="50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20" customWidth="1" min="13" max="13"/>
  </cols>
  <sheetData>
    <row r="1">
      <c r="A1" s="1" t="inlineStr">
        <is>
          <t>Department</t>
        </is>
      </c>
      <c r="B1" s="1" t="inlineStr">
        <is>
          <t>Indicator</t>
        </is>
      </c>
      <c r="C1" s="1" t="inlineStr">
        <is>
          <t>Target</t>
        </is>
      </c>
      <c r="D1" s="1" t="inlineStr">
        <is>
          <t>Goal</t>
        </is>
      </c>
      <c r="E1" s="1" t="inlineStr">
        <is>
          <t>Definition/Formula</t>
        </is>
      </c>
      <c r="F1" s="1" t="inlineStr">
        <is>
          <t>Frequency</t>
        </is>
      </c>
      <c r="G1" s="1" t="inlineStr">
        <is>
          <t>Responsible</t>
        </is>
      </c>
      <c r="H1" s="1" t="inlineStr">
        <is>
          <t>Jan</t>
        </is>
      </c>
      <c r="I1" s="1" t="inlineStr">
        <is>
          <t>Feb</t>
        </is>
      </c>
      <c r="J1" s="1" t="inlineStr">
        <is>
          <t>Mar</t>
        </is>
      </c>
      <c r="K1" s="1" t="inlineStr">
        <is>
          <t>Q1 Avg</t>
        </is>
      </c>
      <c r="L1" s="1" t="inlineStr">
        <is>
          <t>Status</t>
        </is>
      </c>
      <c r="M1" s="1" t="inlineStr">
        <is>
          <t>Notes</t>
        </is>
      </c>
    </row>
    <row r="2">
      <c r="A2" t="inlineStr">
        <is>
          <t>Marketing</t>
        </is>
      </c>
      <c r="B2" t="inlineStr">
        <is>
          <t>Brand reach</t>
        </is>
      </c>
      <c r="C2" t="n">
        <v>5000</v>
      </c>
      <c r="D2" t="inlineStr">
        <is>
          <t>Higher</t>
        </is>
      </c>
      <c r="E2" t="inlineStr">
        <is>
          <t>Total social media engagements + website visits per month</t>
        </is>
      </c>
      <c r="F2" t="inlineStr">
        <is>
          <t>Monthly</t>
        </is>
      </c>
      <c r="G2" t="inlineStr"/>
      <c r="K2">
        <f>AVERAGE(H2:J2)</f>
        <v/>
      </c>
      <c r="L2">
        <f>IF(OR(K2='',C2=''),'',IF(D2='Higher',IF(K2&gt;=C2,'On Target','Below Target'),IF(K2&lt;=C2,'On Target','Below Target')))</f>
        <v/>
      </c>
      <c r="M2" t="inlineStr"/>
    </row>
    <row r="3">
      <c r="A3" t="inlineStr">
        <is>
          <t>Marketing</t>
        </is>
      </c>
      <c r="B3" t="inlineStr">
        <is>
          <t>Lead conversion rate</t>
        </is>
      </c>
      <c r="C3" s="2" t="n">
        <v>0.1</v>
      </c>
      <c r="D3" t="inlineStr">
        <is>
          <t>Higher</t>
        </is>
      </c>
      <c r="E3" t="inlineStr">
        <is>
          <t>Number of inquiries converted to applications ÷ total inquiries</t>
        </is>
      </c>
      <c r="F3" t="inlineStr">
        <is>
          <t>Monthly</t>
        </is>
      </c>
      <c r="G3" t="inlineStr"/>
      <c r="K3">
        <f>AVERAGE(H3:J3)</f>
        <v/>
      </c>
      <c r="L3">
        <f>IF(OR(K3='',C3=''),'',IF(D3='Higher',IF(K3&gt;=C3,'On Target','Below Target'),IF(K3&lt;=C3,'On Target','Below Target')))</f>
        <v/>
      </c>
      <c r="M3" t="inlineStr"/>
    </row>
    <row r="4">
      <c r="A4" t="inlineStr">
        <is>
          <t>Marketing</t>
        </is>
      </c>
      <c r="B4" t="inlineStr">
        <is>
          <t>Event turnout</t>
        </is>
      </c>
      <c r="C4" s="2" t="n">
        <v>0.75</v>
      </c>
      <c r="D4" t="inlineStr">
        <is>
          <t>Higher</t>
        </is>
      </c>
      <c r="E4" t="inlineStr">
        <is>
          <t>Attendance at career fairs/open days ÷ target attendance</t>
        </is>
      </c>
      <c r="F4" t="inlineStr">
        <is>
          <t>Monthly</t>
        </is>
      </c>
      <c r="G4" t="inlineStr"/>
      <c r="K4">
        <f>AVERAGE(H4:J4)</f>
        <v/>
      </c>
      <c r="L4">
        <f>IF(OR(K4='',C4=''),'',IF(D4='Higher',IF(K4&gt;=C4,'On Target','Below Target'),IF(K4&lt;=C4,'On Target','Below Target')))</f>
        <v/>
      </c>
      <c r="M4" t="inlineStr"/>
    </row>
    <row r="5">
      <c r="A5" t="inlineStr">
        <is>
          <t>Marketing</t>
        </is>
      </c>
      <c r="B5" t="inlineStr">
        <is>
          <t>Cost per lead</t>
        </is>
      </c>
      <c r="C5" t="n">
        <v>50</v>
      </c>
      <c r="D5" t="inlineStr">
        <is>
          <t>Lower</t>
        </is>
      </c>
      <c r="E5" t="inlineStr">
        <is>
          <t>Marketing spend ÷ # of new inquiries</t>
        </is>
      </c>
      <c r="F5" t="inlineStr">
        <is>
          <t>Monthly</t>
        </is>
      </c>
      <c r="G5" t="inlineStr"/>
      <c r="K5">
        <f>AVERAGE(H5:J5)</f>
        <v/>
      </c>
      <c r="L5">
        <f>IF(OR(K5='',C5=''),'',IF(D5='Higher',IF(K5&gt;=C5,'On Target','Below Target'),IF(K5&lt;=C5,'On Target','Below Target')))</f>
        <v/>
      </c>
      <c r="M5" t="inlineStr"/>
    </row>
    <row r="6">
      <c r="A6" t="inlineStr">
        <is>
          <t>Admissions</t>
        </is>
      </c>
      <c r="B6" t="inlineStr">
        <is>
          <t>Application-to-enrollment rate</t>
        </is>
      </c>
      <c r="C6" s="2" t="n">
        <v>0.6</v>
      </c>
      <c r="D6" t="inlineStr">
        <is>
          <t>Higher</t>
        </is>
      </c>
      <c r="E6" t="inlineStr">
        <is>
          <t>Enrolled applicants ÷ total applications</t>
        </is>
      </c>
      <c r="F6" t="inlineStr">
        <is>
          <t>Monthly</t>
        </is>
      </c>
      <c r="G6" t="inlineStr"/>
      <c r="K6">
        <f>AVERAGE(H6:J6)</f>
        <v/>
      </c>
      <c r="L6">
        <f>IF(OR(K6='',C6=''),'',IF(D6='Higher',IF(K6&gt;=C6,'On Target','Below Target'),IF(K6&lt;=C6,'On Target','Below Target')))</f>
        <v/>
      </c>
      <c r="M6" t="inlineStr"/>
    </row>
    <row r="7">
      <c r="A7" t="inlineStr">
        <is>
          <t>Admissions</t>
        </is>
      </c>
      <c r="B7" t="inlineStr">
        <is>
          <t>Program fill rate</t>
        </is>
      </c>
      <c r="C7" s="2" t="n">
        <v>0.9</v>
      </c>
      <c r="D7" t="inlineStr">
        <is>
          <t>Higher</t>
        </is>
      </c>
      <c r="E7" t="inlineStr">
        <is>
          <t>Filled program slots ÷ total available slots</t>
        </is>
      </c>
      <c r="F7" t="inlineStr">
        <is>
          <t>Monthly</t>
        </is>
      </c>
      <c r="G7" t="inlineStr"/>
      <c r="K7">
        <f>AVERAGE(H7:J7)</f>
        <v/>
      </c>
      <c r="L7">
        <f>IF(OR(K7='',C7=''),'',IF(D7='Higher',IF(K7&gt;=C7,'On Target','Below Target'),IF(K7&lt;=C7,'On Target','Below Target')))</f>
        <v/>
      </c>
      <c r="M7" t="inlineStr"/>
    </row>
    <row r="8">
      <c r="A8" t="inlineStr">
        <is>
          <t>Admissions</t>
        </is>
      </c>
      <c r="B8" t="inlineStr">
        <is>
          <t>Yield rate</t>
        </is>
      </c>
      <c r="C8" s="2" t="n">
        <v>0.75</v>
      </c>
      <c r="D8" t="inlineStr">
        <is>
          <t>Higher</t>
        </is>
      </c>
      <c r="E8" t="inlineStr">
        <is>
          <t>Accepted students who register ÷ total offers issued</t>
        </is>
      </c>
      <c r="F8" t="inlineStr">
        <is>
          <t>Monthly</t>
        </is>
      </c>
      <c r="G8" t="inlineStr"/>
      <c r="K8">
        <f>AVERAGE(H8:J8)</f>
        <v/>
      </c>
      <c r="L8">
        <f>IF(OR(K8='',C8=''),'',IF(D8='Higher',IF(K8&gt;=C8,'On Target','Below Target'),IF(K8&lt;=C8,'On Target','Below Target')))</f>
        <v/>
      </c>
      <c r="M8" t="inlineStr"/>
    </row>
    <row r="9">
      <c r="A9" t="inlineStr">
        <is>
          <t>Admissions</t>
        </is>
      </c>
      <c r="B9" t="inlineStr">
        <is>
          <t>Processing time</t>
        </is>
      </c>
      <c r="C9" t="n">
        <v>14</v>
      </c>
      <c r="D9" t="inlineStr">
        <is>
          <t>Lower</t>
        </is>
      </c>
      <c r="E9" t="inlineStr">
        <is>
          <t>Average days from application submission to admission decision</t>
        </is>
      </c>
      <c r="F9" t="inlineStr">
        <is>
          <t>Monthly</t>
        </is>
      </c>
      <c r="G9" t="inlineStr"/>
      <c r="K9">
        <f>AVERAGE(H9:J9)</f>
        <v/>
      </c>
      <c r="L9">
        <f>IF(OR(K9='',C9=''),'',IF(D9='Higher',IF(K9&gt;=C9,'On Target','Below Target'),IF(K9&lt;=C9,'On Target','Below Target')))</f>
        <v/>
      </c>
      <c r="M9" t="inlineStr"/>
    </row>
    <row r="10">
      <c r="A10" t="inlineStr">
        <is>
          <t>Exams</t>
        </is>
      </c>
      <c r="B10" t="inlineStr">
        <is>
          <t>Exam completion rate</t>
        </is>
      </c>
      <c r="C10" s="2" t="n">
        <v>0.98</v>
      </c>
      <c r="D10" t="inlineStr">
        <is>
          <t>Higher</t>
        </is>
      </c>
      <c r="E10" t="inlineStr">
        <is>
          <t>Registered students who sit exams ÷ total registered</t>
        </is>
      </c>
      <c r="F10" t="inlineStr">
        <is>
          <t>Monthly</t>
        </is>
      </c>
      <c r="G10" t="inlineStr"/>
      <c r="K10">
        <f>AVERAGE(H10:J10)</f>
        <v/>
      </c>
      <c r="L10">
        <f>IF(OR(K10='',C10=''),'',IF(D10='Higher',IF(K10&gt;=C10,'On Target','Below Target'),IF(K10&lt;=C10,'On Target','Below Target')))</f>
        <v/>
      </c>
      <c r="M10" t="inlineStr"/>
    </row>
    <row r="11">
      <c r="A11" t="inlineStr">
        <is>
          <t>Exams</t>
        </is>
      </c>
      <c r="B11" t="inlineStr">
        <is>
          <t>Results turnaround time</t>
        </is>
      </c>
      <c r="C11" t="n">
        <v>21</v>
      </c>
      <c r="D11" t="inlineStr">
        <is>
          <t>Lower</t>
        </is>
      </c>
      <c r="E11" t="inlineStr">
        <is>
          <t>Days from exam administration to published results</t>
        </is>
      </c>
      <c r="F11" t="inlineStr">
        <is>
          <t>Monthly</t>
        </is>
      </c>
      <c r="G11" t="inlineStr"/>
      <c r="K11">
        <f>AVERAGE(H11:J11)</f>
        <v/>
      </c>
      <c r="L11">
        <f>IF(OR(K11='',C11=''),'',IF(D11='Higher',IF(K11&gt;=C11,'On Target','Below Target'),IF(K11&lt;=C11,'On Target','Below Target')))</f>
        <v/>
      </c>
      <c r="M11" t="inlineStr"/>
    </row>
    <row r="12">
      <c r="A12" t="inlineStr">
        <is>
          <t>Exams</t>
        </is>
      </c>
      <c r="B12" t="inlineStr">
        <is>
          <t>Malpractice rate</t>
        </is>
      </c>
      <c r="C12" s="2" t="n">
        <v>0.005</v>
      </c>
      <c r="D12" t="inlineStr">
        <is>
          <t>Lower</t>
        </is>
      </c>
      <c r="E12" t="inlineStr">
        <is>
          <t>Confirmed malpractice cases ÷ total exam candidates</t>
        </is>
      </c>
      <c r="F12" t="inlineStr">
        <is>
          <t>Monthly</t>
        </is>
      </c>
      <c r="G12" t="inlineStr"/>
      <c r="K12">
        <f>AVERAGE(H12:J12)</f>
        <v/>
      </c>
      <c r="L12">
        <f>IF(OR(K12='',C12=''),'',IF(D12='Higher',IF(K12&gt;=C12,'On Target','Below Target'),IF(K12&lt;=C12,'On Target','Below Target')))</f>
        <v/>
      </c>
      <c r="M12" t="inlineStr"/>
    </row>
    <row r="13">
      <c r="A13" t="inlineStr">
        <is>
          <t>Exams</t>
        </is>
      </c>
      <c r="B13" t="inlineStr">
        <is>
          <t>Appeal rate</t>
        </is>
      </c>
      <c r="C13" s="2" t="n">
        <v>0.02</v>
      </c>
      <c r="D13" t="inlineStr">
        <is>
          <t>Lower</t>
        </is>
      </c>
      <c r="E13" t="inlineStr">
        <is>
          <t>Exam appeals lodged ÷ students examined</t>
        </is>
      </c>
      <c r="F13" t="inlineStr">
        <is>
          <t>Monthly</t>
        </is>
      </c>
      <c r="G13" t="inlineStr"/>
      <c r="K13">
        <f>AVERAGE(H13:J13)</f>
        <v/>
      </c>
      <c r="L13">
        <f>IF(OR(K13='',C13=''),'',IF(D13='Higher',IF(K13&gt;=C13,'On Target','Below Target'),IF(K13&lt;=C13,'On Target','Below Target')))</f>
        <v/>
      </c>
      <c r="M13" t="inlineStr"/>
    </row>
    <row r="14">
      <c r="A14" t="inlineStr">
        <is>
          <t>Transportation</t>
        </is>
      </c>
      <c r="B14" t="inlineStr">
        <is>
          <t>Bus punctuality rate</t>
        </is>
      </c>
      <c r="C14" s="2" t="n">
        <v>0.95</v>
      </c>
      <c r="D14" t="inlineStr">
        <is>
          <t>Higher</t>
        </is>
      </c>
      <c r="E14" t="inlineStr">
        <is>
          <t>On-time trips ÷ total scheduled trips</t>
        </is>
      </c>
      <c r="F14" t="inlineStr">
        <is>
          <t>Monthly</t>
        </is>
      </c>
      <c r="G14" t="inlineStr"/>
      <c r="K14">
        <f>AVERAGE(H14:J14)</f>
        <v/>
      </c>
      <c r="L14">
        <f>IF(OR(K14='',C14=''),'',IF(D14='Higher',IF(K14&gt;=C14,'On Target','Below Target'),IF(K14&lt;=C14,'On Target','Below Target')))</f>
        <v/>
      </c>
      <c r="M14" t="inlineStr"/>
    </row>
    <row r="15">
      <c r="A15" t="inlineStr">
        <is>
          <t>Transportation</t>
        </is>
      </c>
      <c r="B15" t="inlineStr">
        <is>
          <t>Fleet availability</t>
        </is>
      </c>
      <c r="C15" s="2" t="n">
        <v>0.9</v>
      </c>
      <c r="D15" t="inlineStr">
        <is>
          <t>Higher</t>
        </is>
      </c>
      <c r="E15" t="inlineStr">
        <is>
          <t>Operational vehicles ÷ total fleet</t>
        </is>
      </c>
      <c r="F15" t="inlineStr">
        <is>
          <t>Daily</t>
        </is>
      </c>
      <c r="G15" t="inlineStr"/>
      <c r="K15">
        <f>AVERAGE(H15:J15)</f>
        <v/>
      </c>
      <c r="L15">
        <f>IF(OR(K15='',C15=''),'',IF(D15='Higher',IF(K15&gt;=C15,'On Target','Below Target'),IF(K15&lt;=C15,'On Target','Below Target')))</f>
        <v/>
      </c>
      <c r="M15" t="inlineStr"/>
    </row>
    <row r="16">
      <c r="A16" t="inlineStr">
        <is>
          <t>Transportation</t>
        </is>
      </c>
      <c r="B16" t="inlineStr">
        <is>
          <t>Cost per km per student</t>
        </is>
      </c>
      <c r="C16" s="2" t="n">
        <v>0.5</v>
      </c>
      <c r="D16" t="inlineStr">
        <is>
          <t>Lower</t>
        </is>
      </c>
      <c r="E16" t="inlineStr">
        <is>
          <t>Transport cost ÷ total student-km serviced</t>
        </is>
      </c>
      <c r="F16" t="inlineStr">
        <is>
          <t>Monthly</t>
        </is>
      </c>
      <c r="G16" t="inlineStr"/>
      <c r="K16">
        <f>AVERAGE(H16:J16)</f>
        <v/>
      </c>
      <c r="L16">
        <f>IF(OR(K16='',C16=''),'',IF(D16='Higher',IF(K16&gt;=C16,'On Target','Below Target'),IF(K16&lt;=C16,'On Target','Below Target')))</f>
        <v/>
      </c>
      <c r="M16" t="inlineStr"/>
    </row>
    <row r="17">
      <c r="A17" t="inlineStr">
        <is>
          <t>Transportation</t>
        </is>
      </c>
      <c r="B17" t="inlineStr">
        <is>
          <t>Incident rate</t>
        </is>
      </c>
      <c r="C17" s="2" t="n">
        <v>0.5</v>
      </c>
      <c r="D17" t="inlineStr">
        <is>
          <t>Lower</t>
        </is>
      </c>
      <c r="E17" t="inlineStr">
        <is>
          <t>Accidents/breakdowns per month</t>
        </is>
      </c>
      <c r="F17" t="inlineStr">
        <is>
          <t>Monthly</t>
        </is>
      </c>
      <c r="G17" t="inlineStr"/>
      <c r="K17">
        <f>AVERAGE(H17:J17)</f>
        <v/>
      </c>
      <c r="L17">
        <f>IF(OR(K17='',C17=''),'',IF(D17='Higher',IF(K17&gt;=C17,'On Target','Below Target'),IF(K17&lt;=C17,'On Target','Below Target')))</f>
        <v/>
      </c>
      <c r="M17" t="inlineStr"/>
    </row>
    <row r="18">
      <c r="A18" t="inlineStr">
        <is>
          <t>Rock Farm</t>
        </is>
      </c>
      <c r="B18" t="inlineStr">
        <is>
          <t>Yield per hectare</t>
        </is>
      </c>
      <c r="C18" t="n">
        <v>4</v>
      </c>
      <c r="D18" t="inlineStr">
        <is>
          <t>Higher</t>
        </is>
      </c>
      <c r="E18" t="inlineStr">
        <is>
          <t>Agricultural output in tons per hectare</t>
        </is>
      </c>
      <c r="F18" t="inlineStr">
        <is>
          <t>Monthly</t>
        </is>
      </c>
      <c r="G18" t="inlineStr"/>
      <c r="K18">
        <f>AVERAGE(H18:J18)</f>
        <v/>
      </c>
      <c r="L18">
        <f>IF(OR(K18='',C18=''),'',IF(D18='Higher',IF(K18&gt;=C18,'On Target','Below Target'),IF(K18&lt;=C18,'On Target','Below Target')))</f>
        <v/>
      </c>
      <c r="M18" t="inlineStr"/>
    </row>
    <row r="19">
      <c r="A19" t="inlineStr">
        <is>
          <t>Rock Farm</t>
        </is>
      </c>
      <c r="B19" t="inlineStr">
        <is>
          <t>Revenue vs cost</t>
        </is>
      </c>
      <c r="C19" t="n">
        <v>1.2</v>
      </c>
      <c r="D19" t="inlineStr">
        <is>
          <t>Higher</t>
        </is>
      </c>
      <c r="E19" t="inlineStr">
        <is>
          <t>Farm income ÷ farm operational expenses</t>
        </is>
      </c>
      <c r="F19" t="inlineStr">
        <is>
          <t>Quarterly</t>
        </is>
      </c>
      <c r="G19" t="inlineStr"/>
      <c r="K19">
        <f>AVERAGE(H19:J19)</f>
        <v/>
      </c>
      <c r="L19">
        <f>IF(OR(K19='',C19=''),'',IF(D19='Higher',IF(K19&gt;=C19,'On Target','Below Target'),IF(K19&lt;=C19,'On Target','Below Target')))</f>
        <v/>
      </c>
      <c r="M19" t="inlineStr"/>
    </row>
    <row r="20">
      <c r="A20" t="inlineStr">
        <is>
          <t>Rock Farm</t>
        </is>
      </c>
      <c r="B20" t="inlineStr">
        <is>
          <t>Student participation</t>
        </is>
      </c>
      <c r="C20" t="n">
        <v>120</v>
      </c>
      <c r="D20" t="inlineStr">
        <is>
          <t>Higher</t>
        </is>
      </c>
      <c r="E20" t="inlineStr">
        <is>
          <t>Number of students engaged in farm activities</t>
        </is>
      </c>
      <c r="F20" t="inlineStr">
        <is>
          <t>Monthly</t>
        </is>
      </c>
      <c r="G20" t="inlineStr"/>
      <c r="K20">
        <f>AVERAGE(H20:J20)</f>
        <v/>
      </c>
      <c r="L20">
        <f>IF(OR(K20='',C20=''),'',IF(D20='Higher',IF(K20&gt;=C20,'On Target','Below Target'),IF(K20&lt;=C20,'On Target','Below Target')))</f>
        <v/>
      </c>
      <c r="M20" t="inlineStr"/>
    </row>
    <row r="21">
      <c r="A21" t="inlineStr">
        <is>
          <t>Rock Farm</t>
        </is>
      </c>
      <c r="B21" t="inlineStr">
        <is>
          <t>Wastage rate</t>
        </is>
      </c>
      <c r="C21" s="2" t="n">
        <v>0.05</v>
      </c>
      <c r="D21" t="inlineStr">
        <is>
          <t>Lower</t>
        </is>
      </c>
      <c r="E21" t="inlineStr">
        <is>
          <t>Post-harvest losses ÷ total harvest</t>
        </is>
      </c>
      <c r="F21" t="inlineStr">
        <is>
          <t>Monthly</t>
        </is>
      </c>
      <c r="G21" t="inlineStr"/>
      <c r="K21">
        <f>AVERAGE(H21:J21)</f>
        <v/>
      </c>
      <c r="L21">
        <f>IF(OR(K21='',C21=''),'',IF(D21='Higher',IF(K21&gt;=C21,'On Target','Below Target'),IF(K21&lt;=C21,'On Target','Below Target')))</f>
        <v/>
      </c>
      <c r="M21" t="inlineStr"/>
    </row>
    <row r="22">
      <c r="A22" t="inlineStr">
        <is>
          <t>Skills - Short Courses</t>
        </is>
      </c>
      <c r="B22" t="inlineStr">
        <is>
          <t>Enrollment rate</t>
        </is>
      </c>
      <c r="C22" s="2" t="n">
        <v>0.85</v>
      </c>
      <c r="D22" t="inlineStr">
        <is>
          <t>Higher</t>
        </is>
      </c>
      <c r="E22" t="inlineStr">
        <is>
          <t>Seats filled ÷ course capacity</t>
        </is>
      </c>
      <c r="F22" t="inlineStr">
        <is>
          <t>Monthly</t>
        </is>
      </c>
      <c r="G22" t="inlineStr"/>
      <c r="K22">
        <f>AVERAGE(H22:J22)</f>
        <v/>
      </c>
      <c r="L22">
        <f>IF(OR(K22='',C22=''),'',IF(D22='Higher',IF(K22&gt;=C22,'On Target','Below Target'),IF(K22&lt;=C22,'On Target','Below Target')))</f>
        <v/>
      </c>
      <c r="M22" t="inlineStr"/>
    </row>
    <row r="23">
      <c r="A23" t="inlineStr">
        <is>
          <t>Skills - Short Courses</t>
        </is>
      </c>
      <c r="B23" t="inlineStr">
        <is>
          <t>Completion rate</t>
        </is>
      </c>
      <c r="C23" s="2" t="n">
        <v>0.9</v>
      </c>
      <c r="D23" t="inlineStr">
        <is>
          <t>Higher</t>
        </is>
      </c>
      <c r="E23" t="inlineStr">
        <is>
          <t>Students completing the course ÷ enrolled students</t>
        </is>
      </c>
      <c r="F23" t="inlineStr">
        <is>
          <t>Monthly</t>
        </is>
      </c>
      <c r="G23" t="inlineStr"/>
      <c r="K23">
        <f>AVERAGE(H23:J23)</f>
        <v/>
      </c>
      <c r="L23">
        <f>IF(OR(K23='',C23=''),'',IF(D23='Higher',IF(K23&gt;=C23,'On Target','Below Target'),IF(K23&lt;=C23,'On Target','Below Target')))</f>
        <v/>
      </c>
      <c r="M23" t="inlineStr"/>
    </row>
    <row r="24">
      <c r="A24" t="inlineStr">
        <is>
          <t>Skills - Short Courses</t>
        </is>
      </c>
      <c r="B24" t="inlineStr">
        <is>
          <t>Trainee satisfaction</t>
        </is>
      </c>
      <c r="C24" t="n">
        <v>4</v>
      </c>
      <c r="D24" t="inlineStr">
        <is>
          <t>Higher</t>
        </is>
      </c>
      <c r="E24" t="inlineStr">
        <is>
          <t>Average feedback rating out of 5</t>
        </is>
      </c>
      <c r="F24" t="inlineStr">
        <is>
          <t>Quarterly</t>
        </is>
      </c>
      <c r="G24" t="inlineStr"/>
      <c r="K24">
        <f>AVERAGE(H24:J24)</f>
        <v/>
      </c>
      <c r="L24">
        <f>IF(OR(K24='',C24=''),'',IF(D24='Higher',IF(K24&gt;=C24,'On Target','Below Target'),IF(K24&lt;=C24,'On Target','Below Target')))</f>
        <v/>
      </c>
      <c r="M24" t="inlineStr"/>
    </row>
    <row r="25">
      <c r="A25" t="inlineStr">
        <is>
          <t>Skills - Short Courses</t>
        </is>
      </c>
      <c r="B25" t="inlineStr">
        <is>
          <t>Employment uplift</t>
        </is>
      </c>
      <c r="C25" s="2" t="n">
        <v>0.6</v>
      </c>
      <c r="D25" t="inlineStr">
        <is>
          <t>Higher</t>
        </is>
      </c>
      <c r="E25" t="inlineStr">
        <is>
          <t>Trainees employed or upgraded within 3 months ÷ total trainees</t>
        </is>
      </c>
      <c r="F25" t="inlineStr">
        <is>
          <t>Quarterly</t>
        </is>
      </c>
      <c r="G25" t="inlineStr"/>
      <c r="K25">
        <f>AVERAGE(H25:J25)</f>
        <v/>
      </c>
      <c r="L25">
        <f>IF(OR(K25='',C25=''),'',IF(D25='Higher',IF(K25&gt;=C25,'On Target','Below Target'),IF(K25&lt;=C25,'On Target','Below Target')))</f>
        <v/>
      </c>
      <c r="M25" t="inlineStr"/>
    </row>
    <row r="26">
      <c r="A26" t="inlineStr">
        <is>
          <t>School of Health Sciences</t>
        </is>
      </c>
      <c r="B26" t="inlineStr">
        <is>
          <t>Clinical placement rate</t>
        </is>
      </c>
      <c r="C26" s="2" t="n">
        <v>0.95</v>
      </c>
      <c r="D26" t="inlineStr">
        <is>
          <t>Higher</t>
        </is>
      </c>
      <c r="E26" t="inlineStr">
        <is>
          <t>Students placed in clinical attachments ÷ cohort size</t>
        </is>
      </c>
      <c r="F26" t="inlineStr">
        <is>
          <t>Semesterly</t>
        </is>
      </c>
      <c r="G26" t="inlineStr"/>
      <c r="K26">
        <f>AVERAGE(H26:J26)</f>
        <v/>
      </c>
      <c r="L26">
        <f>IF(OR(K26='',C26=''),'',IF(D26='Higher',IF(K26&gt;=C26,'On Target','Below Target'),IF(K26&lt;=C26,'On Target','Below Target')))</f>
        <v/>
      </c>
      <c r="M26" t="inlineStr"/>
    </row>
    <row r="27">
      <c r="A27" t="inlineStr">
        <is>
          <t>School of Health Sciences</t>
        </is>
      </c>
      <c r="B27" t="inlineStr">
        <is>
          <t>Licensure pass rate</t>
        </is>
      </c>
      <c r="C27" s="2" t="n">
        <v>0.85</v>
      </c>
      <c r="D27" t="inlineStr">
        <is>
          <t>Higher</t>
        </is>
      </c>
      <c r="E27" t="inlineStr">
        <is>
          <t>Graduates passing professional exams ÷ candidates</t>
        </is>
      </c>
      <c r="F27" t="inlineStr">
        <is>
          <t>Annual</t>
        </is>
      </c>
      <c r="G27" t="inlineStr"/>
      <c r="K27">
        <f>AVERAGE(H27:J27)</f>
        <v/>
      </c>
      <c r="L27">
        <f>IF(OR(K27='',C27=''),'',IF(D27='Higher',IF(K27&gt;=C27,'On Target','Below Target'),IF(K27&lt;=C27,'On Target','Below Target')))</f>
        <v/>
      </c>
      <c r="M27" t="inlineStr"/>
    </row>
    <row r="28">
      <c r="A28" t="inlineStr">
        <is>
          <t>School of Health Sciences</t>
        </is>
      </c>
      <c r="B28" t="inlineStr">
        <is>
          <t>Patient contact hours</t>
        </is>
      </c>
      <c r="C28" t="n">
        <v>180</v>
      </c>
      <c r="D28" t="inlineStr">
        <is>
          <t>Higher</t>
        </is>
      </c>
      <c r="E28" t="inlineStr">
        <is>
          <t>Average clinical hours per student</t>
        </is>
      </c>
      <c r="F28" t="inlineStr">
        <is>
          <t>Semesterly</t>
        </is>
      </c>
      <c r="G28" t="inlineStr"/>
      <c r="K28">
        <f>AVERAGE(H28:J28)</f>
        <v/>
      </c>
      <c r="L28">
        <f>IF(OR(K28='',C28=''),'',IF(D28='Higher',IF(K28&gt;=C28,'On Target','Below Target'),IF(K28&lt;=C28,'On Target','Below Target')))</f>
        <v/>
      </c>
      <c r="M28" t="inlineStr"/>
    </row>
    <row r="29">
      <c r="A29" t="inlineStr">
        <is>
          <t>School of Health Sciences</t>
        </is>
      </c>
      <c r="B29" t="inlineStr">
        <is>
          <t>Accreditation compliance</t>
        </is>
      </c>
      <c r="C29" s="2" t="n">
        <v>1</v>
      </c>
      <c r="D29" t="inlineStr">
        <is>
          <t>Higher</t>
        </is>
      </c>
      <c r="E29" t="inlineStr">
        <is>
          <t>Accreditation standards met ÷ total required standards</t>
        </is>
      </c>
      <c r="F29" t="inlineStr">
        <is>
          <t>Annual</t>
        </is>
      </c>
      <c r="G29" t="inlineStr"/>
      <c r="K29">
        <f>AVERAGE(H29:J29)</f>
        <v/>
      </c>
      <c r="L29">
        <f>IF(OR(K29='',C29=''),'',IF(D29='Higher',IF(K29&gt;=C29,'On Target','Below Target'),IF(K29&lt;=C29,'On Target','Below Target')))</f>
        <v/>
      </c>
      <c r="M29" t="inlineStr"/>
    </row>
    <row r="30">
      <c r="A30" t="inlineStr">
        <is>
          <t>Human Resource</t>
        </is>
      </c>
      <c r="B30" t="inlineStr">
        <is>
          <t>Staff turnover rate</t>
        </is>
      </c>
      <c r="C30" s="2" t="n">
        <v>0.08</v>
      </c>
      <c r="D30" t="inlineStr">
        <is>
          <t>Lower</t>
        </is>
      </c>
      <c r="E30" t="inlineStr">
        <is>
          <t>Staff departures ÷ average staff headcount</t>
        </is>
      </c>
      <c r="F30" t="inlineStr">
        <is>
          <t>Annual</t>
        </is>
      </c>
      <c r="G30" t="inlineStr"/>
      <c r="K30">
        <f>AVERAGE(H30:J30)</f>
        <v/>
      </c>
      <c r="L30">
        <f>IF(OR(K30='',C30=''),'',IF(D30='Higher',IF(K30&gt;=C30,'On Target','Below Target'),IF(K30&lt;=C30,'On Target','Below Target')))</f>
        <v/>
      </c>
      <c r="M30" t="inlineStr"/>
    </row>
    <row r="31">
      <c r="A31" t="inlineStr">
        <is>
          <t>Human Resource</t>
        </is>
      </c>
      <c r="B31" t="inlineStr">
        <is>
          <t>Vacancy fill time</t>
        </is>
      </c>
      <c r="C31" t="n">
        <v>45</v>
      </c>
      <c r="D31" t="inlineStr">
        <is>
          <t>Lower</t>
        </is>
      </c>
      <c r="E31" t="inlineStr">
        <is>
          <t>Average days to fill open positions</t>
        </is>
      </c>
      <c r="F31" t="inlineStr">
        <is>
          <t>Monthly</t>
        </is>
      </c>
      <c r="G31" t="inlineStr"/>
      <c r="K31">
        <f>AVERAGE(H31:J31)</f>
        <v/>
      </c>
      <c r="L31">
        <f>IF(OR(K31='',C31=''),'',IF(D31='Higher',IF(K31&gt;=C31,'On Target','Below Target'),IF(K31&lt;=C31,'On Target','Below Target')))</f>
        <v/>
      </c>
      <c r="M31" t="inlineStr"/>
    </row>
    <row r="32">
      <c r="A32" t="inlineStr">
        <is>
          <t>Human Resource</t>
        </is>
      </c>
      <c r="B32" t="inlineStr">
        <is>
          <t>Training completion</t>
        </is>
      </c>
      <c r="C32" s="2" t="n">
        <v>0.9</v>
      </c>
      <c r="D32" t="inlineStr">
        <is>
          <t>Higher</t>
        </is>
      </c>
      <c r="E32" t="inlineStr">
        <is>
          <t>Staff completing mandatory training ÷ total staff</t>
        </is>
      </c>
      <c r="F32" t="inlineStr">
        <is>
          <t>Annual</t>
        </is>
      </c>
      <c r="G32" t="inlineStr"/>
      <c r="K32">
        <f>AVERAGE(H32:J32)</f>
        <v/>
      </c>
      <c r="L32">
        <f>IF(OR(K32='',C32=''),'',IF(D32='Higher',IF(K32&gt;=C32,'On Target','Below Target'),IF(K32&lt;=C32,'On Target','Below Target')))</f>
        <v/>
      </c>
      <c r="M32" t="inlineStr"/>
    </row>
    <row r="33">
      <c r="A33" t="inlineStr">
        <is>
          <t>Human Resource</t>
        </is>
      </c>
      <c r="B33" t="inlineStr">
        <is>
          <t>Staff satisfaction score</t>
        </is>
      </c>
      <c r="C33" t="n">
        <v>4.2</v>
      </c>
      <c r="D33" t="inlineStr">
        <is>
          <t>Higher</t>
        </is>
      </c>
      <c r="E33" t="inlineStr">
        <is>
          <t>Average staff survey score out of 5</t>
        </is>
      </c>
      <c r="F33" t="inlineStr">
        <is>
          <t>Annual</t>
        </is>
      </c>
      <c r="G33" t="inlineStr"/>
      <c r="K33">
        <f>AVERAGE(H33:J33)</f>
        <v/>
      </c>
      <c r="L33">
        <f>IF(OR(K33='',C33=''),'',IF(D33='Higher',IF(K33&gt;=C33,'On Target','Below Target'),IF(K33&lt;=C33,'On Target','Below Target')))</f>
        <v/>
      </c>
      <c r="M33" t="inlineStr"/>
    </row>
    <row r="34">
      <c r="A34" t="inlineStr">
        <is>
          <t>Legal</t>
        </is>
      </c>
      <c r="B34" t="inlineStr">
        <is>
          <t>Case resolution time</t>
        </is>
      </c>
      <c r="C34" t="n">
        <v>30</v>
      </c>
      <c r="D34" t="inlineStr">
        <is>
          <t>Lower</t>
        </is>
      </c>
      <c r="E34" t="inlineStr">
        <is>
          <t>Average days to close legal matters</t>
        </is>
      </c>
      <c r="F34" t="inlineStr">
        <is>
          <t>Monthly</t>
        </is>
      </c>
      <c r="G34" t="inlineStr"/>
      <c r="K34">
        <f>AVERAGE(H34:J34)</f>
        <v/>
      </c>
      <c r="L34">
        <f>IF(OR(K34='',C34=''),'',IF(D34='Higher',IF(K34&gt;=C34,'On Target','Below Target'),IF(K34&lt;=C34,'On Target','Below Target')))</f>
        <v/>
      </c>
      <c r="M34" t="inlineStr"/>
    </row>
    <row r="35">
      <c r="A35" t="inlineStr">
        <is>
          <t>Legal</t>
        </is>
      </c>
      <c r="B35" t="inlineStr">
        <is>
          <t>Compliance rate</t>
        </is>
      </c>
      <c r="C35" s="2" t="n">
        <v>1</v>
      </c>
      <c r="D35" t="inlineStr">
        <is>
          <t>Higher</t>
        </is>
      </c>
      <c r="E35" t="inlineStr">
        <is>
          <t>Policies in compliance ÷ total reviewed policies</t>
        </is>
      </c>
      <c r="F35" t="inlineStr">
        <is>
          <t>Quarterly</t>
        </is>
      </c>
      <c r="G35" t="inlineStr"/>
      <c r="K35">
        <f>AVERAGE(H35:J35)</f>
        <v/>
      </c>
      <c r="L35">
        <f>IF(OR(K35='',C35=''),'',IF(D35='Higher',IF(K35&gt;=C35,'On Target','Below Target'),IF(K35&lt;=C35,'On Target','Below Target')))</f>
        <v/>
      </c>
      <c r="M35" t="inlineStr"/>
    </row>
    <row r="36">
      <c r="A36" t="inlineStr">
        <is>
          <t>Legal</t>
        </is>
      </c>
      <c r="B36" t="inlineStr">
        <is>
          <t>Contract review turnaround</t>
        </is>
      </c>
      <c r="C36" t="n">
        <v>14</v>
      </c>
      <c r="D36" t="inlineStr">
        <is>
          <t>Lower</t>
        </is>
      </c>
      <c r="E36" t="inlineStr">
        <is>
          <t>Average days to review and approve contractual documents</t>
        </is>
      </c>
      <c r="F36" t="inlineStr">
        <is>
          <t>Monthly</t>
        </is>
      </c>
      <c r="G36" t="inlineStr"/>
      <c r="K36">
        <f>AVERAGE(H36:J36)</f>
        <v/>
      </c>
      <c r="L36">
        <f>IF(OR(K36='',C36=''),'',IF(D36='Higher',IF(K36&gt;=C36,'On Target','Below Target'),IF(K36&lt;=C36,'On Target','Below Target')))</f>
        <v/>
      </c>
      <c r="M36" t="inlineStr"/>
    </row>
    <row r="37">
      <c r="A37" t="inlineStr">
        <is>
          <t>Legal</t>
        </is>
      </c>
      <c r="B37" t="inlineStr">
        <is>
          <t>Litigation cost</t>
        </is>
      </c>
      <c r="C37" s="2" t="n">
        <v>0.02</v>
      </c>
      <c r="D37" t="inlineStr">
        <is>
          <t>Lower</t>
        </is>
      </c>
      <c r="E37" t="inlineStr">
        <is>
          <t>Legal expenses ÷ total operating budget</t>
        </is>
      </c>
      <c r="F37" t="inlineStr">
        <is>
          <t>Annual</t>
        </is>
      </c>
      <c r="G37" t="inlineStr"/>
      <c r="K37">
        <f>AVERAGE(H37:J37)</f>
        <v/>
      </c>
      <c r="L37">
        <f>IF(OR(K37='',C37=''),'',IF(D37='Higher',IF(K37&gt;=C37,'On Target','Below Target'),IF(K37&lt;=C37,'On Target','Below Target')))</f>
        <v/>
      </c>
      <c r="M37" t="inlineStr"/>
    </row>
    <row r="38">
      <c r="A38" t="inlineStr">
        <is>
          <t>Library</t>
        </is>
      </c>
      <c r="B38" t="inlineStr">
        <is>
          <t>Utilization rate</t>
        </is>
      </c>
      <c r="C38" t="n">
        <v>120</v>
      </c>
      <c r="D38" t="inlineStr">
        <is>
          <t>Higher</t>
        </is>
      </c>
      <c r="E38" t="inlineStr">
        <is>
          <t>Average daily student visits</t>
        </is>
      </c>
      <c r="F38" t="inlineStr">
        <is>
          <t>Monthly</t>
        </is>
      </c>
      <c r="G38" t="inlineStr"/>
      <c r="K38">
        <f>AVERAGE(H38:J38)</f>
        <v/>
      </c>
      <c r="L38">
        <f>IF(OR(K38='',C38=''),'',IF(D38='Higher',IF(K38&gt;=C38,'On Target','Below Target'),IF(K38&lt;=C38,'On Target','Below Target')))</f>
        <v/>
      </c>
      <c r="M38" t="inlineStr"/>
    </row>
    <row r="39">
      <c r="A39" t="inlineStr">
        <is>
          <t>Library</t>
        </is>
      </c>
      <c r="B39" t="inlineStr">
        <is>
          <t>E-resource usage</t>
        </is>
      </c>
      <c r="C39" t="n">
        <v>800</v>
      </c>
      <c r="D39" t="inlineStr">
        <is>
          <t>Higher</t>
        </is>
      </c>
      <c r="E39" t="inlineStr">
        <is>
          <t>Monthly downloads/logins of digital resources</t>
        </is>
      </c>
      <c r="F39" t="inlineStr">
        <is>
          <t>Monthly</t>
        </is>
      </c>
      <c r="G39" t="inlineStr"/>
      <c r="K39">
        <f>AVERAGE(H39:J39)</f>
        <v/>
      </c>
      <c r="L39">
        <f>IF(OR(K39='',C39=''),'',IF(D39='Higher',IF(K39&gt;=C39,'On Target','Below Target'),IF(K39&lt;=C39,'On Target','Below Target')))</f>
        <v/>
      </c>
      <c r="M39" t="inlineStr"/>
    </row>
    <row r="40">
      <c r="A40" t="inlineStr">
        <is>
          <t>Library</t>
        </is>
      </c>
      <c r="B40" t="inlineStr">
        <is>
          <t>Book-to-student ratio</t>
        </is>
      </c>
      <c r="C40" s="2" t="n">
        <v>0.5</v>
      </c>
      <c r="D40" t="inlineStr">
        <is>
          <t>Higher</t>
        </is>
      </c>
      <c r="E40" t="inlineStr">
        <is>
          <t>Total available books ÷ enrolled students</t>
        </is>
      </c>
      <c r="F40" t="inlineStr">
        <is>
          <t>Annual</t>
        </is>
      </c>
      <c r="G40" t="inlineStr"/>
      <c r="K40">
        <f>AVERAGE(H40:J40)</f>
        <v/>
      </c>
      <c r="L40">
        <f>IF(OR(K40='',C40=''),'',IF(D40='Higher',IF(K40&gt;=C40,'On Target','Below Target'),IF(K40&lt;=C40,'On Target','Below Target')))</f>
        <v/>
      </c>
      <c r="M40" t="inlineStr"/>
    </row>
    <row r="41">
      <c r="A41" t="inlineStr">
        <is>
          <t>Library</t>
        </is>
      </c>
      <c r="B41" t="inlineStr">
        <is>
          <t>Catalog update rate</t>
        </is>
      </c>
      <c r="C41" s="2" t="n">
        <v>0.95</v>
      </c>
      <c r="D41" t="inlineStr">
        <is>
          <t>Higher</t>
        </is>
      </c>
      <c r="E41" t="inlineStr">
        <is>
          <t>New titles cataloged within 30 days ÷ new acquisitions</t>
        </is>
      </c>
      <c r="F41" t="inlineStr">
        <is>
          <t>Quarterly</t>
        </is>
      </c>
      <c r="G41" t="inlineStr"/>
      <c r="K41">
        <f>AVERAGE(H41:J41)</f>
        <v/>
      </c>
      <c r="L41">
        <f>IF(OR(K41='',C41=''),'',IF(D41='Higher',IF(K41&gt;=C41,'On Target','Below Target'),IF(K41&lt;=C41,'On Target','Below Target')))</f>
        <v/>
      </c>
      <c r="M41" t="inlineStr"/>
    </row>
    <row r="42">
      <c r="A42" t="inlineStr">
        <is>
          <t>Accounts</t>
        </is>
      </c>
      <c r="B42" t="inlineStr">
        <is>
          <t>Fee collection rate</t>
        </is>
      </c>
      <c r="C42" s="2" t="n">
        <v>0.95</v>
      </c>
      <c r="D42" t="inlineStr">
        <is>
          <t>Higher</t>
        </is>
      </c>
      <c r="E42" t="inlineStr">
        <is>
          <t>Fees collected ÷ fees billed</t>
        </is>
      </c>
      <c r="F42" t="inlineStr">
        <is>
          <t>Monthly</t>
        </is>
      </c>
      <c r="G42" t="inlineStr"/>
      <c r="K42">
        <f>AVERAGE(H42:J42)</f>
        <v/>
      </c>
      <c r="L42">
        <f>IF(OR(K42='',C42=''),'',IF(D42='Higher',IF(K42&gt;=C42,'On Target','Below Target'),IF(K42&lt;=C42,'On Target','Below Target')))</f>
        <v/>
      </c>
      <c r="M42" t="inlineStr"/>
    </row>
    <row r="43">
      <c r="A43" t="inlineStr">
        <is>
          <t>Accounts</t>
        </is>
      </c>
      <c r="B43" t="inlineStr">
        <is>
          <t>Days sales outstanding</t>
        </is>
      </c>
      <c r="C43" t="n">
        <v>30</v>
      </c>
      <c r="D43" t="inlineStr">
        <is>
          <t>Lower</t>
        </is>
      </c>
      <c r="E43" t="inlineStr">
        <is>
          <t>Average days to collect tuition and fees</t>
        </is>
      </c>
      <c r="F43" t="inlineStr">
        <is>
          <t>Monthly</t>
        </is>
      </c>
      <c r="G43" t="inlineStr"/>
      <c r="K43">
        <f>AVERAGE(H43:J43)</f>
        <v/>
      </c>
      <c r="L43">
        <f>IF(OR(K43='',C43=''),'',IF(D43='Higher',IF(K43&gt;=C43,'On Target','Below Target'),IF(K43&lt;=C43,'On Target','Below Target')))</f>
        <v/>
      </c>
      <c r="M43" t="inlineStr"/>
    </row>
    <row r="44">
      <c r="A44" t="inlineStr">
        <is>
          <t>Accounts</t>
        </is>
      </c>
      <c r="B44" t="inlineStr">
        <is>
          <t>Budget variance</t>
        </is>
      </c>
      <c r="C44" s="2" t="n">
        <v>0.05</v>
      </c>
      <c r="D44" t="inlineStr">
        <is>
          <t>Lower</t>
        </is>
      </c>
      <c r="E44" t="inlineStr">
        <is>
          <t>Absolute difference between actual and budget ÷ budget</t>
        </is>
      </c>
      <c r="F44" t="inlineStr">
        <is>
          <t>Quarterly</t>
        </is>
      </c>
      <c r="G44" t="inlineStr"/>
      <c r="K44">
        <f>AVERAGE(H44:J44)</f>
        <v/>
      </c>
      <c r="L44">
        <f>IF(OR(K44='',C44=''),'',IF(D44='Higher',IF(K44&gt;=C44,'On Target','Below Target'),IF(K44&lt;=C44,'On Target','Below Target')))</f>
        <v/>
      </c>
      <c r="M44" t="inlineStr"/>
    </row>
    <row r="45">
      <c r="A45" t="inlineStr">
        <is>
          <t>Accounts</t>
        </is>
      </c>
      <c r="B45" t="inlineStr">
        <is>
          <t>Audit findings</t>
        </is>
      </c>
      <c r="C45" t="n">
        <v>0</v>
      </c>
      <c r="D45" t="inlineStr">
        <is>
          <t>Lower</t>
        </is>
      </c>
      <c r="E45" t="inlineStr">
        <is>
          <t>Open audit issues requiring action</t>
        </is>
      </c>
      <c r="F45" t="inlineStr">
        <is>
          <t>Quarterly</t>
        </is>
      </c>
      <c r="G45" t="inlineStr"/>
      <c r="K45">
        <f>AVERAGE(H45:J45)</f>
        <v/>
      </c>
      <c r="L45">
        <f>IF(OR(K45='',C45=''),'',IF(D45='Higher',IF(K45&gt;=C45,'On Target','Below Target'),IF(K45&lt;=C45,'On Target','Below Target')))</f>
        <v/>
      </c>
      <c r="M45" t="inlineStr"/>
    </row>
    <row r="46">
      <c r="A46" t="inlineStr">
        <is>
          <t>School of Business and Humanities</t>
        </is>
      </c>
      <c r="B46" t="inlineStr">
        <is>
          <t>Program pass rate</t>
        </is>
      </c>
      <c r="C46" s="2" t="n">
        <v>0.78</v>
      </c>
      <c r="D46" t="inlineStr">
        <is>
          <t>Higher</t>
        </is>
      </c>
      <c r="E46" t="inlineStr">
        <is>
          <t>Students passing courses ÷ students registered</t>
        </is>
      </c>
      <c r="F46" t="inlineStr">
        <is>
          <t>Semesterly</t>
        </is>
      </c>
      <c r="G46" t="inlineStr"/>
      <c r="K46">
        <f>AVERAGE(H46:J46)</f>
        <v/>
      </c>
      <c r="L46">
        <f>IF(OR(K46='',C46=''),'',IF(D46='Higher',IF(K46&gt;=C46,'On Target','Below Target'),IF(K46&lt;=C46,'On Target','Below Target')))</f>
        <v/>
      </c>
      <c r="M46" t="inlineStr"/>
    </row>
    <row r="47">
      <c r="A47" t="inlineStr">
        <is>
          <t>School of Business and Humanities</t>
        </is>
      </c>
      <c r="B47" t="inlineStr">
        <is>
          <t>Research output</t>
        </is>
      </c>
      <c r="C47" t="n">
        <v>20</v>
      </c>
      <c r="D47" t="inlineStr">
        <is>
          <t>Higher</t>
        </is>
      </c>
      <c r="E47" t="inlineStr">
        <is>
          <t>Publications and conference contributions per year</t>
        </is>
      </c>
      <c r="F47" t="inlineStr">
        <is>
          <t>Annual</t>
        </is>
      </c>
      <c r="G47" t="inlineStr"/>
      <c r="K47">
        <f>AVERAGE(H47:J47)</f>
        <v/>
      </c>
      <c r="L47">
        <f>IF(OR(K47='',C47=''),'',IF(D47='Higher',IF(K47&gt;=C47,'On Target','Below Target'),IF(K47&lt;=C47,'On Target','Below Target')))</f>
        <v/>
      </c>
      <c r="M47" t="inlineStr"/>
    </row>
    <row r="48">
      <c r="A48" t="inlineStr">
        <is>
          <t>School of Business and Humanities</t>
        </is>
      </c>
      <c r="B48" t="inlineStr">
        <is>
          <t>Industry linkage</t>
        </is>
      </c>
      <c r="C48" t="n">
        <v>5</v>
      </c>
      <c r="D48" t="inlineStr">
        <is>
          <t>Higher</t>
        </is>
      </c>
      <c r="E48" t="inlineStr">
        <is>
          <t>Memoranda of Understanding signed with employers</t>
        </is>
      </c>
      <c r="F48" t="inlineStr">
        <is>
          <t>Annual</t>
        </is>
      </c>
      <c r="G48" t="inlineStr"/>
      <c r="K48">
        <f>AVERAGE(H48:J48)</f>
        <v/>
      </c>
      <c r="L48">
        <f>IF(OR(K48='',C48=''),'',IF(D48='Higher',IF(K48&gt;=C48,'On Target','Below Target'),IF(K48&lt;=C48,'On Target','Below Target')))</f>
        <v/>
      </c>
      <c r="M48" t="inlineStr"/>
    </row>
    <row r="49">
      <c r="A49" t="inlineStr">
        <is>
          <t>School of Business and Humanities</t>
        </is>
      </c>
      <c r="B49" t="inlineStr">
        <is>
          <t>Internship placement rate</t>
        </is>
      </c>
      <c r="C49" s="2" t="n">
        <v>0.8</v>
      </c>
      <c r="D49" t="inlineStr">
        <is>
          <t>Higher</t>
        </is>
      </c>
      <c r="E49" t="inlineStr">
        <is>
          <t>Students placed in industry internships ÷ eligible students</t>
        </is>
      </c>
      <c r="F49" t="inlineStr">
        <is>
          <t>Semesterly</t>
        </is>
      </c>
      <c r="G49" t="inlineStr"/>
      <c r="K49">
        <f>AVERAGE(H49:J49)</f>
        <v/>
      </c>
      <c r="L49">
        <f>IF(OR(K49='',C49=''),'',IF(D49='Higher',IF(K49&gt;=C49,'On Target','Below Target'),IF(K49&lt;=C49,'On Target','Below Target')))</f>
        <v/>
      </c>
      <c r="M49" t="inlineStr"/>
    </row>
    <row r="50">
      <c r="A50" t="inlineStr">
        <is>
          <t>School of Natural Science</t>
        </is>
      </c>
      <c r="B50" t="inlineStr">
        <is>
          <t>Lab usage rate</t>
        </is>
      </c>
      <c r="C50" s="2" t="n">
        <v>0.85</v>
      </c>
      <c r="D50" t="inlineStr">
        <is>
          <t>Higher</t>
        </is>
      </c>
      <c r="E50" t="inlineStr">
        <is>
          <t>Scheduled lab hours used ÷ total scheduled lab hours</t>
        </is>
      </c>
      <c r="F50" t="inlineStr">
        <is>
          <t>Monthly</t>
        </is>
      </c>
      <c r="G50" t="inlineStr"/>
      <c r="K50">
        <f>AVERAGE(H50:J50)</f>
        <v/>
      </c>
      <c r="L50">
        <f>IF(OR(K50='',C50=''),'',IF(D50='Higher',IF(K50&gt;=C50,'On Target','Below Target'),IF(K50&lt;=C50,'On Target','Below Target')))</f>
        <v/>
      </c>
      <c r="M50" t="inlineStr"/>
    </row>
    <row r="51">
      <c r="A51" t="inlineStr">
        <is>
          <t>School of Natural Science</t>
        </is>
      </c>
      <c r="B51" t="inlineStr">
        <is>
          <t>Research grants</t>
        </is>
      </c>
      <c r="C51" t="n">
        <v>200000</v>
      </c>
      <c r="D51" t="inlineStr">
        <is>
          <t>Higher</t>
        </is>
      </c>
      <c r="E51" t="inlineStr">
        <is>
          <t>Value of research grants secured</t>
        </is>
      </c>
      <c r="F51" t="inlineStr">
        <is>
          <t>Annual</t>
        </is>
      </c>
      <c r="G51" t="inlineStr"/>
      <c r="K51">
        <f>AVERAGE(H51:J51)</f>
        <v/>
      </c>
      <c r="L51">
        <f>IF(OR(K51='',C51=''),'',IF(D51='Higher',IF(K51&gt;=C51,'On Target','Below Target'),IF(K51&lt;=C51,'On Target','Below Target')))</f>
        <v/>
      </c>
      <c r="M51" t="inlineStr"/>
    </row>
    <row r="52">
      <c r="A52" t="inlineStr">
        <is>
          <t>School of Natural Science</t>
        </is>
      </c>
      <c r="B52" t="inlineStr">
        <is>
          <t>Project completion rate</t>
        </is>
      </c>
      <c r="C52" s="2" t="n">
        <v>0.95</v>
      </c>
      <c r="D52" t="inlineStr">
        <is>
          <t>Higher</t>
        </is>
      </c>
      <c r="E52" t="inlineStr">
        <is>
          <t>Final year projects completed on schedule ÷ total projects</t>
        </is>
      </c>
      <c r="F52" t="inlineStr">
        <is>
          <t>Annual</t>
        </is>
      </c>
      <c r="G52" t="inlineStr"/>
      <c r="K52">
        <f>AVERAGE(H52:J52)</f>
        <v/>
      </c>
      <c r="L52">
        <f>IF(OR(K52='',C52=''),'',IF(D52='Higher',IF(K52&gt;=C52,'On Target','Below Target'),IF(K52&lt;=C52,'On Target','Below Target')))</f>
        <v/>
      </c>
      <c r="M52" t="inlineStr"/>
    </row>
    <row r="53">
      <c r="A53" t="inlineStr">
        <is>
          <t>School of Natural Science</t>
        </is>
      </c>
      <c r="B53" t="inlineStr">
        <is>
          <t>Publication rate</t>
        </is>
      </c>
      <c r="C53" t="n">
        <v>1.2</v>
      </c>
      <c r="D53" t="inlineStr">
        <is>
          <t>Higher</t>
        </is>
      </c>
      <c r="E53" t="inlineStr">
        <is>
          <t>Peer-reviewed papers per lecturer per year</t>
        </is>
      </c>
      <c r="F53" t="inlineStr">
        <is>
          <t>Annual</t>
        </is>
      </c>
      <c r="G53" t="inlineStr"/>
      <c r="K53">
        <f>AVERAGE(H53:J53)</f>
        <v/>
      </c>
      <c r="L53">
        <f>IF(OR(K53='',C53=''),'',IF(D53='Higher',IF(K53&gt;=C53,'On Target','Below Target'),IF(K53&lt;=C53,'On Target','Below Target')))</f>
        <v/>
      </c>
      <c r="M53" t="inlineStr"/>
    </row>
    <row r="54">
      <c r="A54" t="inlineStr">
        <is>
          <t>School of Agriculture</t>
        </is>
      </c>
      <c r="B54" t="inlineStr">
        <is>
          <t>Field practical completion</t>
        </is>
      </c>
      <c r="C54" s="2" t="n">
        <v>0.9</v>
      </c>
      <c r="D54" t="inlineStr">
        <is>
          <t>Higher</t>
        </is>
      </c>
      <c r="E54" t="inlineStr">
        <is>
          <t>Students completing practical fieldwork ÷ total students</t>
        </is>
      </c>
      <c r="F54" t="inlineStr">
        <is>
          <t>Semesterly</t>
        </is>
      </c>
      <c r="G54" t="inlineStr"/>
      <c r="K54">
        <f>AVERAGE(H54:J54)</f>
        <v/>
      </c>
      <c r="L54">
        <f>IF(OR(K54='',C54=''),'',IF(D54='Higher',IF(K54&gt;=C54,'On Target','Below Target'),IF(K54&lt;=C54,'On Target','Below Target')))</f>
        <v/>
      </c>
      <c r="M54" t="inlineStr"/>
    </row>
    <row r="55">
      <c r="A55" t="inlineStr">
        <is>
          <t>School of Agriculture</t>
        </is>
      </c>
      <c r="B55" t="inlineStr">
        <is>
          <t>Crop/livestock yield</t>
        </is>
      </c>
      <c r="C55" t="n">
        <v>3</v>
      </c>
      <c r="D55" t="inlineStr">
        <is>
          <t>Higher</t>
        </is>
      </c>
      <c r="E55" t="inlineStr">
        <is>
          <t>Average output in tons per student plot</t>
        </is>
      </c>
      <c r="F55" t="inlineStr">
        <is>
          <t>Annual</t>
        </is>
      </c>
      <c r="G55" t="inlineStr"/>
      <c r="K55">
        <f>AVERAGE(H55:J55)</f>
        <v/>
      </c>
      <c r="L55">
        <f>IF(OR(K55='',C55=''),'',IF(D55='Higher',IF(K55&gt;=C55,'On Target','Below Target'),IF(K55&lt;=C55,'On Target','Below Target')))</f>
        <v/>
      </c>
      <c r="M55" t="inlineStr"/>
    </row>
    <row r="56">
      <c r="A56" t="inlineStr">
        <is>
          <t>School of Agriculture</t>
        </is>
      </c>
      <c r="B56" t="inlineStr">
        <is>
          <t>Extension outreach</t>
        </is>
      </c>
      <c r="C56" t="n">
        <v>200</v>
      </c>
      <c r="D56" t="inlineStr">
        <is>
          <t>Higher</t>
        </is>
      </c>
      <c r="E56" t="inlineStr">
        <is>
          <t>Farmers reached through outreach programs</t>
        </is>
      </c>
      <c r="F56" t="inlineStr">
        <is>
          <t>Annual</t>
        </is>
      </c>
      <c r="G56" t="inlineStr"/>
      <c r="K56">
        <f>AVERAGE(H56:J56)</f>
        <v/>
      </c>
      <c r="L56">
        <f>IF(OR(K56='',C56=''),'',IF(D56='Higher',IF(K56&gt;=C56,'On Target','Below Target'),IF(K56&lt;=C56,'On Target','Below Target')))</f>
        <v/>
      </c>
      <c r="M56" t="inlineStr"/>
    </row>
    <row r="57">
      <c r="A57" t="inlineStr">
        <is>
          <t>School of Agriculture</t>
        </is>
      </c>
      <c r="B57" t="inlineStr">
        <is>
          <t>Technology adoption rate</t>
        </is>
      </c>
      <c r="C57" s="2" t="n">
        <v>0.8</v>
      </c>
      <c r="D57" t="inlineStr">
        <is>
          <t>Higher</t>
        </is>
      </c>
      <c r="E57" t="inlineStr">
        <is>
          <t>Students using new agricultural methods ÷ total students</t>
        </is>
      </c>
      <c r="F57" t="inlineStr">
        <is>
          <t>Annual</t>
        </is>
      </c>
      <c r="G57" t="inlineStr"/>
      <c r="K57">
        <f>AVERAGE(H57:J57)</f>
        <v/>
      </c>
      <c r="L57">
        <f>IF(OR(K57='',C57=''),'',IF(D57='Higher',IF(K57&gt;=C57,'On Target','Below Target'),IF(K57&lt;=C57,'On Target','Below Target')))</f>
        <v/>
      </c>
      <c r="M57" t="inlineStr"/>
    </row>
    <row r="58">
      <c r="A58" t="inlineStr">
        <is>
          <t>School of Education</t>
        </is>
      </c>
      <c r="B58" t="inlineStr">
        <is>
          <t>Teaching practice completion</t>
        </is>
      </c>
      <c r="C58" s="2" t="n">
        <v>0.92</v>
      </c>
      <c r="D58" t="inlineStr">
        <is>
          <t>Higher</t>
        </is>
      </c>
      <c r="E58" t="inlineStr">
        <is>
          <t>Students passing teaching practice ÷ total participants</t>
        </is>
      </c>
      <c r="F58" t="inlineStr">
        <is>
          <t>Semesterly</t>
        </is>
      </c>
      <c r="G58" t="inlineStr"/>
      <c r="K58">
        <f>AVERAGE(H58:J58)</f>
        <v/>
      </c>
      <c r="L58">
        <f>IF(OR(K58='',C58=''),'',IF(D58='Higher',IF(K58&gt;=C58,'On Target','Below Target'),IF(K58&lt;=C58,'On Target','Below Target')))</f>
        <v/>
      </c>
      <c r="M58" t="inlineStr"/>
    </row>
    <row r="59">
      <c r="A59" t="inlineStr">
        <is>
          <t>School of Education</t>
        </is>
      </c>
      <c r="B59" t="inlineStr">
        <is>
          <t>Graduate employment in schools</t>
        </is>
      </c>
      <c r="C59" s="2" t="n">
        <v>0.7</v>
      </c>
      <c r="D59" t="inlineStr">
        <is>
          <t>Higher</t>
        </is>
      </c>
      <c r="E59" t="inlineStr">
        <is>
          <t>Graduates employed in education roles within 1 year ÷ graduates</t>
        </is>
      </c>
      <c r="F59" t="inlineStr">
        <is>
          <t>Annual</t>
        </is>
      </c>
      <c r="G59" t="inlineStr"/>
      <c r="K59">
        <f>AVERAGE(H59:J59)</f>
        <v/>
      </c>
      <c r="L59">
        <f>IF(OR(K59='',C59=''),'',IF(D59='Higher',IF(K59&gt;=C59,'On Target','Below Target'),IF(K59&lt;=C59,'On Target','Below Target')))</f>
        <v/>
      </c>
      <c r="M59" t="inlineStr"/>
    </row>
    <row r="60">
      <c r="A60" t="inlineStr">
        <is>
          <t>School of Education</t>
        </is>
      </c>
      <c r="B60" t="inlineStr">
        <is>
          <t>Compliance rate</t>
        </is>
      </c>
      <c r="C60" s="2" t="n">
        <v>1</v>
      </c>
      <c r="D60" t="inlineStr">
        <is>
          <t>Higher</t>
        </is>
      </c>
      <c r="E60" t="inlineStr">
        <is>
          <t>Programs meeting NQA standards ÷ total programs</t>
        </is>
      </c>
      <c r="F60" t="inlineStr">
        <is>
          <t>Annual</t>
        </is>
      </c>
      <c r="G60" t="inlineStr"/>
      <c r="K60">
        <f>AVERAGE(H60:J60)</f>
        <v/>
      </c>
      <c r="L60">
        <f>IF(OR(K60='',C60=''),'',IF(D60='Higher',IF(K60&gt;=C60,'On Target','Below Target'),IF(K60&lt;=C60,'On Target','Below Target')))</f>
        <v/>
      </c>
      <c r="M60" t="inlineStr"/>
    </row>
    <row r="61">
      <c r="A61" t="inlineStr">
        <is>
          <t>School of Education</t>
        </is>
      </c>
      <c r="B61" t="inlineStr">
        <is>
          <t>Student evaluation score</t>
        </is>
      </c>
      <c r="C61" t="n">
        <v>4</v>
      </c>
      <c r="D61" t="inlineStr">
        <is>
          <t>Higher</t>
        </is>
      </c>
      <c r="E61" t="inlineStr">
        <is>
          <t>Average teaching evaluation score out of 5</t>
        </is>
      </c>
      <c r="F61" t="inlineStr">
        <is>
          <t>Semesterly</t>
        </is>
      </c>
      <c r="G61" t="inlineStr"/>
      <c r="K61">
        <f>AVERAGE(H61:J61)</f>
        <v/>
      </c>
      <c r="L61">
        <f>IF(OR(K61='',C61=''),'',IF(D61='Higher',IF(K61&gt;=C61,'On Target','Below Target'),IF(K61&lt;=C61,'On Target','Below Target')))</f>
        <v/>
      </c>
      <c r="M61" t="inlineStr"/>
    </row>
    <row r="62">
      <c r="A62" t="inlineStr">
        <is>
          <t>Quality Assurance/Auditors Office</t>
        </is>
      </c>
      <c r="B62" t="inlineStr">
        <is>
          <t>Program review cycle</t>
        </is>
      </c>
      <c r="C62" s="2" t="n">
        <v>1</v>
      </c>
      <c r="D62" t="inlineStr">
        <is>
          <t>Higher</t>
        </is>
      </c>
      <c r="E62" t="inlineStr">
        <is>
          <t>Programs reviewed on schedule ÷ total programs</t>
        </is>
      </c>
      <c r="F62" t="inlineStr">
        <is>
          <t>Annual</t>
        </is>
      </c>
      <c r="G62" t="inlineStr"/>
      <c r="K62">
        <f>AVERAGE(H62:J62)</f>
        <v/>
      </c>
      <c r="L62">
        <f>IF(OR(K62='',C62=''),'',IF(D62='Higher',IF(K62&gt;=C62,'On Target','Below Target'),IF(K62&lt;=C62,'On Target','Below Target')))</f>
        <v/>
      </c>
      <c r="M62" t="inlineStr"/>
    </row>
    <row r="63">
      <c r="A63" t="inlineStr">
        <is>
          <t>Quality Assurance/Auditors Office</t>
        </is>
      </c>
      <c r="B63" t="inlineStr">
        <is>
          <t>Non-conformance rate</t>
        </is>
      </c>
      <c r="C63" t="n">
        <v>2</v>
      </c>
      <c r="D63" t="inlineStr">
        <is>
          <t>Lower</t>
        </is>
      </c>
      <c r="E63" t="inlineStr">
        <is>
          <t>QA issues per department identified during reviews</t>
        </is>
      </c>
      <c r="F63" t="inlineStr">
        <is>
          <t>Quarterly</t>
        </is>
      </c>
      <c r="G63" t="inlineStr"/>
      <c r="K63">
        <f>AVERAGE(H63:J63)</f>
        <v/>
      </c>
      <c r="L63">
        <f>IF(OR(K63='',C63=''),'',IF(D63='Higher',IF(K63&gt;=C63,'On Target','Below Target'),IF(K63&lt;=C63,'On Target','Below Target')))</f>
        <v/>
      </c>
      <c r="M63" t="inlineStr"/>
    </row>
    <row r="64">
      <c r="A64" t="inlineStr">
        <is>
          <t>Quality Assurance/Auditors Office</t>
        </is>
      </c>
      <c r="B64" t="inlineStr">
        <is>
          <t>Action closure rate</t>
        </is>
      </c>
      <c r="C64" s="2" t="n">
        <v>0.9</v>
      </c>
      <c r="D64" t="inlineStr">
        <is>
          <t>Higher</t>
        </is>
      </c>
      <c r="E64" t="inlineStr">
        <is>
          <t>Audit findings resolved within 90 days ÷ total findings</t>
        </is>
      </c>
      <c r="F64" t="inlineStr">
        <is>
          <t>Quarterly</t>
        </is>
      </c>
      <c r="G64" t="inlineStr"/>
      <c r="K64">
        <f>AVERAGE(H64:J64)</f>
        <v/>
      </c>
      <c r="L64">
        <f>IF(OR(K64='',C64=''),'',IF(D64='Higher',IF(K64&gt;=C64,'On Target','Below Target'),IF(K64&lt;=C64,'On Target','Below Target')))</f>
        <v/>
      </c>
      <c r="M64" t="inlineStr"/>
    </row>
    <row r="65">
      <c r="A65" t="inlineStr">
        <is>
          <t>Quality Assurance/Auditors Office</t>
        </is>
      </c>
      <c r="B65" t="inlineStr">
        <is>
          <t>Student satisfaction</t>
        </is>
      </c>
      <c r="C65" t="n">
        <v>4</v>
      </c>
      <c r="D65" t="inlineStr">
        <is>
          <t>Higher</t>
        </is>
      </c>
      <c r="E65" t="inlineStr">
        <is>
          <t>Average student satisfaction rating across reviews</t>
        </is>
      </c>
      <c r="F65" t="inlineStr">
        <is>
          <t>Annual</t>
        </is>
      </c>
      <c r="G65" t="inlineStr"/>
      <c r="K65">
        <f>AVERAGE(H65:J65)</f>
        <v/>
      </c>
      <c r="L65">
        <f>IF(OR(K65='',C65=''),'',IF(D65='Higher',IF(K65&gt;=C65,'On Target','Below Target'),IF(K65&lt;=C65,'On Target','Below Target')))</f>
        <v/>
      </c>
      <c r="M65" t="inlineStr"/>
    </row>
    <row r="66">
      <c r="A66" t="inlineStr">
        <is>
          <t>Projects</t>
        </is>
      </c>
      <c r="B66" t="inlineStr">
        <is>
          <t>Project completion rate</t>
        </is>
      </c>
      <c r="C66" s="2" t="n">
        <v>0.9</v>
      </c>
      <c r="D66" t="inlineStr">
        <is>
          <t>Higher</t>
        </is>
      </c>
      <c r="E66" t="inlineStr">
        <is>
          <t>Projects delivered by deadline ÷ total active projects</t>
        </is>
      </c>
      <c r="F66" t="inlineStr">
        <is>
          <t>Quarterly</t>
        </is>
      </c>
      <c r="G66" t="inlineStr"/>
      <c r="K66">
        <f>AVERAGE(H66:J66)</f>
        <v/>
      </c>
      <c r="L66">
        <f>IF(OR(K66='',C66=''),'',IF(D66='Higher',IF(K66&gt;=C66,'On Target','Below Target'),IF(K66&lt;=C66,'On Target','Below Target')))</f>
        <v/>
      </c>
      <c r="M66" t="inlineStr"/>
    </row>
    <row r="67">
      <c r="A67" t="inlineStr">
        <is>
          <t>Projects</t>
        </is>
      </c>
      <c r="B67" t="inlineStr">
        <is>
          <t>Donor disbursement rate</t>
        </is>
      </c>
      <c r="C67" s="2" t="n">
        <v>0.95</v>
      </c>
      <c r="D67" t="inlineStr">
        <is>
          <t>Higher</t>
        </is>
      </c>
      <c r="E67" t="inlineStr">
        <is>
          <t>Funds received ÷ funds pledged</t>
        </is>
      </c>
      <c r="F67" t="inlineStr">
        <is>
          <t>Quarterly</t>
        </is>
      </c>
      <c r="G67" t="inlineStr"/>
      <c r="K67">
        <f>AVERAGE(H67:J67)</f>
        <v/>
      </c>
      <c r="L67">
        <f>IF(OR(K67='',C67=''),'',IF(D67='Higher',IF(K67&gt;=C67,'On Target','Below Target'),IF(K67&lt;=C67,'On Target','Below Target')))</f>
        <v/>
      </c>
      <c r="M67" t="inlineStr"/>
    </row>
    <row r="68">
      <c r="A68" t="inlineStr">
        <is>
          <t>Projects</t>
        </is>
      </c>
      <c r="B68" t="inlineStr">
        <is>
          <t>Beneficiary reach</t>
        </is>
      </c>
      <c r="C68" t="n">
        <v>5000</v>
      </c>
      <c r="D68" t="inlineStr">
        <is>
          <t>Higher</t>
        </is>
      </c>
      <c r="E68" t="inlineStr">
        <is>
          <t>People impacted by project activities</t>
        </is>
      </c>
      <c r="F68" t="inlineStr">
        <is>
          <t>Quarterly</t>
        </is>
      </c>
      <c r="G68" t="inlineStr"/>
      <c r="K68">
        <f>AVERAGE(H68:J68)</f>
        <v/>
      </c>
      <c r="L68">
        <f>IF(OR(K68='',C68=''),'',IF(D68='Higher',IF(K68&gt;=C68,'On Target','Below Target'),IF(K68&lt;=C68,'On Target','Below Target')))</f>
        <v/>
      </c>
      <c r="M68" t="inlineStr"/>
    </row>
    <row r="69">
      <c r="A69" t="inlineStr">
        <is>
          <t>Projects</t>
        </is>
      </c>
      <c r="B69" t="inlineStr">
        <is>
          <t>Sustainability score</t>
        </is>
      </c>
      <c r="C69" s="2" t="n">
        <v>0.8</v>
      </c>
      <c r="D69" t="inlineStr">
        <is>
          <t>Higher</t>
        </is>
      </c>
      <c r="E69" t="inlineStr">
        <is>
          <t>Projects still operational 12 months after close ÷ total closed projects</t>
        </is>
      </c>
      <c r="F69" t="inlineStr">
        <is>
          <t>Annual</t>
        </is>
      </c>
      <c r="G69" t="inlineStr"/>
      <c r="K69">
        <f>AVERAGE(H69:J69)</f>
        <v/>
      </c>
      <c r="L69">
        <f>IF(OR(K69='',C69=''),'',IF(D69='Higher',IF(K69&gt;=C69,'On Target','Below Target'),IF(K69&lt;=C69,'On Target','Below Target')))</f>
        <v/>
      </c>
      <c r="M69" t="inlineStr"/>
    </row>
    <row r="70">
      <c r="A70" t="inlineStr">
        <is>
          <t>Sports</t>
        </is>
      </c>
      <c r="B70" t="inlineStr">
        <is>
          <t>Student participation</t>
        </is>
      </c>
      <c r="C70" s="2" t="n">
        <v>0.15</v>
      </c>
      <c r="D70" t="inlineStr">
        <is>
          <t>Higher</t>
        </is>
      </c>
      <c r="E70" t="inlineStr">
        <is>
          <t>Students engaged in sports ÷ total student population</t>
        </is>
      </c>
      <c r="F70" t="inlineStr">
        <is>
          <t>Monthly</t>
        </is>
      </c>
      <c r="G70" t="inlineStr"/>
      <c r="K70">
        <f>AVERAGE(H70:J70)</f>
        <v/>
      </c>
      <c r="L70">
        <f>IF(OR(K70='',C70=''),'',IF(D70='Higher',IF(K70&gt;=C70,'On Target','Below Target'),IF(K70&lt;=C70,'On Target','Below Target')))</f>
        <v/>
      </c>
      <c r="M70" t="inlineStr"/>
    </row>
    <row r="71">
      <c r="A71" t="inlineStr">
        <is>
          <t>Sports</t>
        </is>
      </c>
      <c r="B71" t="inlineStr">
        <is>
          <t>Inter-university wins</t>
        </is>
      </c>
      <c r="C71" t="n">
        <v>5</v>
      </c>
      <c r="D71" t="inlineStr">
        <is>
          <t>Higher</t>
        </is>
      </c>
      <c r="E71" t="inlineStr">
        <is>
          <t>Medals or trophies won per year</t>
        </is>
      </c>
      <c r="F71" t="inlineStr">
        <is>
          <t>Annual</t>
        </is>
      </c>
      <c r="G71" t="inlineStr"/>
      <c r="K71">
        <f>AVERAGE(H71:J71)</f>
        <v/>
      </c>
      <c r="L71">
        <f>IF(OR(K71='',C71=''),'',IF(D71='Higher',IF(K71&gt;=C71,'On Target','Below Target'),IF(K71&lt;=C71,'On Target','Below Target')))</f>
        <v/>
      </c>
      <c r="M71" t="inlineStr"/>
    </row>
    <row r="72">
      <c r="A72" t="inlineStr">
        <is>
          <t>Sports</t>
        </is>
      </c>
      <c r="B72" t="inlineStr">
        <is>
          <t>Injury rate</t>
        </is>
      </c>
      <c r="C72" s="2" t="n">
        <v>0.015</v>
      </c>
      <c r="D72" t="inlineStr">
        <is>
          <t>Lower</t>
        </is>
      </c>
      <c r="E72" t="inlineStr">
        <is>
          <t>Sports injuries ÷ athletes participating</t>
        </is>
      </c>
      <c r="F72" t="inlineStr">
        <is>
          <t>Monthly</t>
        </is>
      </c>
      <c r="G72" t="inlineStr"/>
      <c r="K72">
        <f>AVERAGE(H72:J72)</f>
        <v/>
      </c>
      <c r="L72">
        <f>IF(OR(K72='',C72=''),'',IF(D72='Higher',IF(K72&gt;=C72,'On Target','Below Target'),IF(K72&lt;=C72,'On Target','Below Target')))</f>
        <v/>
      </c>
      <c r="M72" t="inlineStr"/>
    </row>
    <row r="73">
      <c r="A73" t="inlineStr">
        <is>
          <t>Sports</t>
        </is>
      </c>
      <c r="B73" t="inlineStr">
        <is>
          <t>Facility usage</t>
        </is>
      </c>
      <c r="C73" t="n">
        <v>120</v>
      </c>
      <c r="D73" t="inlineStr">
        <is>
          <t>Higher</t>
        </is>
      </c>
      <c r="E73" t="inlineStr">
        <is>
          <t>Hours of sports facility use per week</t>
        </is>
      </c>
      <c r="F73" t="inlineStr">
        <is>
          <t>Weekly</t>
        </is>
      </c>
      <c r="G73" t="inlineStr"/>
      <c r="K73">
        <f>AVERAGE(H73:J73)</f>
        <v/>
      </c>
      <c r="L73">
        <f>IF(OR(K73='',C73=''),'',IF(D73='Higher',IF(K73&gt;=C73,'On Target','Below Target'),IF(K73&lt;=C73,'On Target','Below Target')))</f>
        <v/>
      </c>
      <c r="M73" t="inlineStr"/>
    </row>
    <row r="74">
      <c r="A74" t="inlineStr">
        <is>
          <t>Industrial Attachment</t>
        </is>
      </c>
      <c r="B74" t="inlineStr">
        <is>
          <t>Placement rate</t>
        </is>
      </c>
      <c r="C74" s="2" t="n">
        <v>0.85</v>
      </c>
      <c r="D74" t="inlineStr">
        <is>
          <t>Higher</t>
        </is>
      </c>
      <c r="E74" t="inlineStr">
        <is>
          <t>Students placed with approved employers ÷ eligible students</t>
        </is>
      </c>
      <c r="F74" t="inlineStr">
        <is>
          <t>Semesterly</t>
        </is>
      </c>
      <c r="G74" t="inlineStr"/>
      <c r="K74">
        <f>AVERAGE(H74:J74)</f>
        <v/>
      </c>
      <c r="L74">
        <f>IF(OR(K74='',C74=''),'',IF(D74='Higher',IF(K74&gt;=C74,'On Target','Below Target'),IF(K74&lt;=C74,'On Target','Below Target')))</f>
        <v/>
      </c>
      <c r="M74" t="inlineStr"/>
    </row>
    <row r="75">
      <c r="A75" t="inlineStr">
        <is>
          <t>Industrial Attachment</t>
        </is>
      </c>
      <c r="B75" t="inlineStr">
        <is>
          <t>Supervisor rating</t>
        </is>
      </c>
      <c r="C75" t="n">
        <v>4</v>
      </c>
      <c r="D75" t="inlineStr">
        <is>
          <t>Higher</t>
        </is>
      </c>
      <c r="E75" t="inlineStr">
        <is>
          <t>Average employer supervision score out of 5</t>
        </is>
      </c>
      <c r="F75" t="inlineStr">
        <is>
          <t>Semesterly</t>
        </is>
      </c>
      <c r="G75" t="inlineStr"/>
      <c r="K75">
        <f>AVERAGE(H75:J75)</f>
        <v/>
      </c>
      <c r="L75">
        <f>IF(OR(K75='',C75=''),'',IF(D75='Higher',IF(K75&gt;=C75,'On Target','Below Target'),IF(K75&lt;=C75,'On Target','Below Target')))</f>
        <v/>
      </c>
      <c r="M75" t="inlineStr"/>
    </row>
    <row r="76">
      <c r="A76" t="inlineStr">
        <is>
          <t>Industrial Attachment</t>
        </is>
      </c>
      <c r="B76" t="inlineStr">
        <is>
          <t>Conversion to employment</t>
        </is>
      </c>
      <c r="C76" s="2" t="n">
        <v>0.4</v>
      </c>
      <c r="D76" t="inlineStr">
        <is>
          <t>Higher</t>
        </is>
      </c>
      <c r="E76" t="inlineStr">
        <is>
          <t>Students offered jobs after attachment ÷ attached students</t>
        </is>
      </c>
      <c r="F76" t="inlineStr">
        <is>
          <t>Annual</t>
        </is>
      </c>
      <c r="G76" t="inlineStr"/>
      <c r="K76">
        <f>AVERAGE(H76:J76)</f>
        <v/>
      </c>
      <c r="L76">
        <f>IF(OR(K76='',C76=''),'',IF(D76='Higher',IF(K76&gt;=C76,'On Target','Below Target'),IF(K76&lt;=C76,'On Target','Below Target')))</f>
        <v/>
      </c>
      <c r="M76" t="inlineStr"/>
    </row>
    <row r="77">
      <c r="A77" t="inlineStr">
        <is>
          <t>Industrial Attachment</t>
        </is>
      </c>
      <c r="B77" t="inlineStr">
        <is>
          <t>Attachment completion</t>
        </is>
      </c>
      <c r="C77" s="2" t="n">
        <v>0.98</v>
      </c>
      <c r="D77" t="inlineStr">
        <is>
          <t>Higher</t>
        </is>
      </c>
      <c r="E77" t="inlineStr">
        <is>
          <t>Students completing the full attachment period ÷ all attached students</t>
        </is>
      </c>
      <c r="F77" t="inlineStr">
        <is>
          <t>Semesterly</t>
        </is>
      </c>
      <c r="G77" t="inlineStr"/>
      <c r="K77">
        <f>AVERAGE(H77:J77)</f>
        <v/>
      </c>
      <c r="L77">
        <f>IF(OR(K77='',C77=''),'',IF(D77='Higher',IF(K77&gt;=C77,'On Target','Below Target'),IF(K77&lt;=C77,'On Target','Below Target')))</f>
        <v/>
      </c>
      <c r="M77" t="inlineStr"/>
    </row>
    <row r="78">
      <c r="A78" t="inlineStr">
        <is>
          <t>Rockmas Trust Schools</t>
        </is>
      </c>
      <c r="B78" t="inlineStr">
        <is>
          <t>Learner pass rate</t>
        </is>
      </c>
      <c r="C78" s="2" t="n">
        <v>0.85</v>
      </c>
      <c r="D78" t="inlineStr">
        <is>
          <t>Higher</t>
        </is>
      </c>
      <c r="E78" t="inlineStr">
        <is>
          <t>Learners passing national exams ÷ learners sitting exams</t>
        </is>
      </c>
      <c r="F78" t="inlineStr">
        <is>
          <t>Annual</t>
        </is>
      </c>
      <c r="G78" t="inlineStr"/>
      <c r="K78">
        <f>AVERAGE(H78:J78)</f>
        <v/>
      </c>
      <c r="L78">
        <f>IF(OR(K78='',C78=''),'',IF(D78='Higher',IF(K78&gt;=C78,'On Target','Below Target'),IF(K78&lt;=C78,'On Target','Below Target')))</f>
        <v/>
      </c>
      <c r="M78" t="inlineStr"/>
    </row>
    <row r="79">
      <c r="A79" t="inlineStr">
        <is>
          <t>Rockmas Trust Schools</t>
        </is>
      </c>
      <c r="B79" t="inlineStr">
        <is>
          <t>Teacher-pupil ratio</t>
        </is>
      </c>
      <c r="C79" t="n">
        <v>30</v>
      </c>
      <c r="D79" t="inlineStr">
        <is>
          <t>Lower</t>
        </is>
      </c>
      <c r="E79" t="inlineStr">
        <is>
          <t>Average number of pupils per teacher</t>
        </is>
      </c>
      <c r="F79" t="inlineStr">
        <is>
          <t>Annual</t>
        </is>
      </c>
      <c r="G79" t="inlineStr"/>
      <c r="K79">
        <f>AVERAGE(H79:J79)</f>
        <v/>
      </c>
      <c r="L79">
        <f>IF(OR(K79='',C79=''),'',IF(D79='Higher',IF(K79&gt;=C79,'On Target','Below Target'),IF(K79&lt;=C79,'On Target','Below Target')))</f>
        <v/>
      </c>
      <c r="M79" t="inlineStr"/>
    </row>
    <row r="80">
      <c r="A80" t="inlineStr">
        <is>
          <t>Rockmas Trust Schools</t>
        </is>
      </c>
      <c r="B80" t="inlineStr">
        <is>
          <t>Retention rate</t>
        </is>
      </c>
      <c r="C80" s="2" t="n">
        <v>0.95</v>
      </c>
      <c r="D80" t="inlineStr">
        <is>
          <t>Higher</t>
        </is>
      </c>
      <c r="E80" t="inlineStr">
        <is>
          <t>Pupils progressing to next grade ÷ enrolled pupils</t>
        </is>
      </c>
      <c r="F80" t="inlineStr">
        <is>
          <t>Annual</t>
        </is>
      </c>
      <c r="G80" t="inlineStr"/>
      <c r="K80">
        <f>AVERAGE(H80:J80)</f>
        <v/>
      </c>
      <c r="L80">
        <f>IF(OR(K80='',C80=''),'',IF(D80='Higher',IF(K80&gt;=C80,'On Target','Below Target'),IF(K80&lt;=C80,'On Target','Below Target')))</f>
        <v/>
      </c>
      <c r="M80" t="inlineStr"/>
    </row>
    <row r="81">
      <c r="A81" t="inlineStr">
        <is>
          <t>Rockmas Trust Schools</t>
        </is>
      </c>
      <c r="B81" t="inlineStr">
        <is>
          <t>Fee collection rate</t>
        </is>
      </c>
      <c r="C81" s="2" t="n">
        <v>0.98</v>
      </c>
      <c r="D81" t="inlineStr">
        <is>
          <t>Higher</t>
        </is>
      </c>
      <c r="E81" t="inlineStr">
        <is>
          <t>School fees collected ÷ billed fees</t>
        </is>
      </c>
      <c r="F81" t="inlineStr">
        <is>
          <t>Monthly</t>
        </is>
      </c>
      <c r="G81" t="inlineStr"/>
      <c r="K81">
        <f>AVERAGE(H81:J81)</f>
        <v/>
      </c>
      <c r="L81">
        <f>IF(OR(K81='',C81=''),'',IF(D81='Higher',IF(K81&gt;=C81,'On Target','Below Target'),IF(K81&lt;=C81,'On Target','Below Target')))</f>
        <v/>
      </c>
      <c r="M81" t="inlineStr"/>
    </row>
    <row r="82">
      <c r="A82" t="inlineStr">
        <is>
          <t>Research &amp; Innovation</t>
        </is>
      </c>
      <c r="B82" t="inlineStr">
        <is>
          <t>Research funding growth</t>
        </is>
      </c>
      <c r="C82" s="2" t="n">
        <v>0.15</v>
      </c>
      <c r="D82" t="inlineStr">
        <is>
          <t>Higher</t>
        </is>
      </c>
      <c r="E82" t="inlineStr">
        <is>
          <t>Year-on-year increase in research funding</t>
        </is>
      </c>
      <c r="F82" t="inlineStr">
        <is>
          <t>Annual</t>
        </is>
      </c>
      <c r="G82" t="inlineStr"/>
      <c r="K82">
        <f>AVERAGE(H82:J82)</f>
        <v/>
      </c>
      <c r="L82">
        <f>IF(OR(K82='',C82=''),'',IF(D82='Higher',IF(K82&gt;=C82,'On Target','Below Target'),IF(K82&lt;=C82,'On Target','Below Target')))</f>
        <v/>
      </c>
      <c r="M82" t="inlineStr"/>
    </row>
    <row r="83">
      <c r="A83" t="inlineStr">
        <is>
          <t>Research &amp; Innovation</t>
        </is>
      </c>
      <c r="B83" t="inlineStr">
        <is>
          <t>Patent/prototype count</t>
        </is>
      </c>
      <c r="C83" t="n">
        <v>6</v>
      </c>
      <c r="D83" t="inlineStr">
        <is>
          <t>Higher</t>
        </is>
      </c>
      <c r="E83" t="inlineStr">
        <is>
          <t>New patents or prototypes developed</t>
        </is>
      </c>
      <c r="F83" t="inlineStr">
        <is>
          <t>Annual</t>
        </is>
      </c>
      <c r="G83" t="inlineStr"/>
      <c r="K83">
        <f>AVERAGE(H83:J83)</f>
        <v/>
      </c>
      <c r="L83">
        <f>IF(OR(K83='',C83=''),'',IF(D83='Higher',IF(K83&gt;=C83,'On Target','Below Target'),IF(K83&lt;=C83,'On Target','Below Target')))</f>
        <v/>
      </c>
      <c r="M83" t="inlineStr"/>
    </row>
    <row r="84">
      <c r="A84" t="inlineStr">
        <is>
          <t>Research &amp; Innovation</t>
        </is>
      </c>
      <c r="B84" t="inlineStr">
        <is>
          <t>Collaborative projects</t>
        </is>
      </c>
      <c r="C84" t="n">
        <v>8</v>
      </c>
      <c r="D84" t="inlineStr">
        <is>
          <t>Higher</t>
        </is>
      </c>
      <c r="E84" t="inlineStr">
        <is>
          <t>Joint research or innovation partnerships active</t>
        </is>
      </c>
      <c r="F84" t="inlineStr">
        <is>
          <t>Annual</t>
        </is>
      </c>
      <c r="G84" t="inlineStr"/>
      <c r="K84">
        <f>AVERAGE(H84:J84)</f>
        <v/>
      </c>
      <c r="L84">
        <f>IF(OR(K84='',C84=''),'',IF(D84='Higher',IF(K84&gt;=C84,'On Target','Below Target'),IF(K84&lt;=C84,'On Target','Below Target')))</f>
        <v/>
      </c>
      <c r="M84" t="inlineStr"/>
    </row>
    <row r="85">
      <c r="A85" t="inlineStr">
        <is>
          <t>Research &amp; Innovation</t>
        </is>
      </c>
      <c r="B85" t="inlineStr">
        <is>
          <t>Innovation training completion</t>
        </is>
      </c>
      <c r="C85" s="2" t="n">
        <v>0.9</v>
      </c>
      <c r="D85" t="inlineStr">
        <is>
          <t>Higher</t>
        </is>
      </c>
      <c r="E85" t="inlineStr">
        <is>
          <t>Participants completing innovation workshops ÷ enrolled participants</t>
        </is>
      </c>
      <c r="F85" t="inlineStr">
        <is>
          <t>Annual</t>
        </is>
      </c>
      <c r="G85" t="inlineStr"/>
      <c r="K85">
        <f>AVERAGE(H85:J85)</f>
        <v/>
      </c>
      <c r="L85">
        <f>IF(OR(K85='',C85=''),'',IF(D85='Higher',IF(K85&gt;=C85,'On Target','Below Target'),IF(K85&lt;=C85,'On Target','Below Target')))</f>
        <v/>
      </c>
      <c r="M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28" customWidth="1" min="6" max="6"/>
  </cols>
  <sheetData>
    <row r="1">
      <c r="A1" s="1" t="inlineStr">
        <is>
          <t>Department</t>
        </is>
      </c>
      <c r="B1" s="1" t="inlineStr">
        <is>
          <t>KPI Count</t>
        </is>
      </c>
      <c r="C1" s="1" t="inlineStr">
        <is>
          <t>On Target</t>
        </is>
      </c>
      <c r="D1" s="1" t="inlineStr">
        <is>
          <t>Below Target</t>
        </is>
      </c>
      <c r="E1" s="1" t="inlineStr">
        <is>
          <t>% On Target</t>
        </is>
      </c>
      <c r="F1" s="1" t="inlineStr">
        <is>
          <t>Notes</t>
        </is>
      </c>
    </row>
    <row r="2">
      <c r="A2" t="inlineStr">
        <is>
          <t>Marketing</t>
        </is>
      </c>
      <c r="B2">
        <f>COUNTIF('Data Entry'!A:A,A2)</f>
        <v/>
      </c>
      <c r="C2">
        <f>COUNTIFS('Data Entry'!A:A,A2,'Data Entry'!L:L,"On Target")</f>
        <v/>
      </c>
      <c r="D2">
        <f>COUNTIFS('Data Entry'!A:A,A2,'Data Entry'!L:L,"Below Target")</f>
        <v/>
      </c>
      <c r="E2" s="2">
        <f>IF(B2=0,'',C2/B2)</f>
        <v/>
      </c>
    </row>
    <row r="3">
      <c r="A3" t="inlineStr">
        <is>
          <t>Admissions</t>
        </is>
      </c>
      <c r="B3">
        <f>COUNTIF('Data Entry'!A:A,A3)</f>
        <v/>
      </c>
      <c r="C3">
        <f>COUNTIFS('Data Entry'!A:A,A3,'Data Entry'!L:L,"On Target")</f>
        <v/>
      </c>
      <c r="D3">
        <f>COUNTIFS('Data Entry'!A:A,A3,'Data Entry'!L:L,"Below Target")</f>
        <v/>
      </c>
      <c r="E3" s="2">
        <f>IF(B3=0,'',C3/B3)</f>
        <v/>
      </c>
    </row>
    <row r="4">
      <c r="A4" t="inlineStr">
        <is>
          <t>Exams</t>
        </is>
      </c>
      <c r="B4">
        <f>COUNTIF('Data Entry'!A:A,A4)</f>
        <v/>
      </c>
      <c r="C4">
        <f>COUNTIFS('Data Entry'!A:A,A4,'Data Entry'!L:L,"On Target")</f>
        <v/>
      </c>
      <c r="D4">
        <f>COUNTIFS('Data Entry'!A:A,A4,'Data Entry'!L:L,"Below Target")</f>
        <v/>
      </c>
      <c r="E4" s="2">
        <f>IF(B4=0,'',C4/B4)</f>
        <v/>
      </c>
    </row>
    <row r="5">
      <c r="A5" t="inlineStr">
        <is>
          <t>Transportation</t>
        </is>
      </c>
      <c r="B5">
        <f>COUNTIF('Data Entry'!A:A,A5)</f>
        <v/>
      </c>
      <c r="C5">
        <f>COUNTIFS('Data Entry'!A:A,A5,'Data Entry'!L:L,"On Target")</f>
        <v/>
      </c>
      <c r="D5">
        <f>COUNTIFS('Data Entry'!A:A,A5,'Data Entry'!L:L,"Below Target")</f>
        <v/>
      </c>
      <c r="E5" s="2">
        <f>IF(B5=0,'',C5/B5)</f>
        <v/>
      </c>
    </row>
    <row r="6">
      <c r="A6" t="inlineStr">
        <is>
          <t>Rock Farm</t>
        </is>
      </c>
      <c r="B6">
        <f>COUNTIF('Data Entry'!A:A,A6)</f>
        <v/>
      </c>
      <c r="C6">
        <f>COUNTIFS('Data Entry'!A:A,A6,'Data Entry'!L:L,"On Target")</f>
        <v/>
      </c>
      <c r="D6">
        <f>COUNTIFS('Data Entry'!A:A,A6,'Data Entry'!L:L,"Below Target")</f>
        <v/>
      </c>
      <c r="E6" s="2">
        <f>IF(B6=0,'',C6/B6)</f>
        <v/>
      </c>
    </row>
    <row r="7">
      <c r="A7" t="inlineStr">
        <is>
          <t>Skills - Short Courses</t>
        </is>
      </c>
      <c r="B7">
        <f>COUNTIF('Data Entry'!A:A,A7)</f>
        <v/>
      </c>
      <c r="C7">
        <f>COUNTIFS('Data Entry'!A:A,A7,'Data Entry'!L:L,"On Target")</f>
        <v/>
      </c>
      <c r="D7">
        <f>COUNTIFS('Data Entry'!A:A,A7,'Data Entry'!L:L,"Below Target")</f>
        <v/>
      </c>
      <c r="E7" s="2">
        <f>IF(B7=0,'',C7/B7)</f>
        <v/>
      </c>
    </row>
    <row r="8">
      <c r="A8" t="inlineStr">
        <is>
          <t>School of Health Sciences</t>
        </is>
      </c>
      <c r="B8">
        <f>COUNTIF('Data Entry'!A:A,A8)</f>
        <v/>
      </c>
      <c r="C8">
        <f>COUNTIFS('Data Entry'!A:A,A8,'Data Entry'!L:L,"On Target")</f>
        <v/>
      </c>
      <c r="D8">
        <f>COUNTIFS('Data Entry'!A:A,A8,'Data Entry'!L:L,"Below Target")</f>
        <v/>
      </c>
      <c r="E8" s="2">
        <f>IF(B8=0,'',C8/B8)</f>
        <v/>
      </c>
    </row>
    <row r="9">
      <c r="A9" t="inlineStr">
        <is>
          <t>Human Resource</t>
        </is>
      </c>
      <c r="B9">
        <f>COUNTIF('Data Entry'!A:A,A9)</f>
        <v/>
      </c>
      <c r="C9">
        <f>COUNTIFS('Data Entry'!A:A,A9,'Data Entry'!L:L,"On Target")</f>
        <v/>
      </c>
      <c r="D9">
        <f>COUNTIFS('Data Entry'!A:A,A9,'Data Entry'!L:L,"Below Target")</f>
        <v/>
      </c>
      <c r="E9" s="2">
        <f>IF(B9=0,'',C9/B9)</f>
        <v/>
      </c>
    </row>
    <row r="10">
      <c r="A10" t="inlineStr">
        <is>
          <t>Legal</t>
        </is>
      </c>
      <c r="B10">
        <f>COUNTIF('Data Entry'!A:A,A10)</f>
        <v/>
      </c>
      <c r="C10">
        <f>COUNTIFS('Data Entry'!A:A,A10,'Data Entry'!L:L,"On Target")</f>
        <v/>
      </c>
      <c r="D10">
        <f>COUNTIFS('Data Entry'!A:A,A10,'Data Entry'!L:L,"Below Target")</f>
        <v/>
      </c>
      <c r="E10" s="2">
        <f>IF(B10=0,'',C10/B10)</f>
        <v/>
      </c>
    </row>
    <row r="11">
      <c r="A11" t="inlineStr">
        <is>
          <t>Library</t>
        </is>
      </c>
      <c r="B11">
        <f>COUNTIF('Data Entry'!A:A,A11)</f>
        <v/>
      </c>
      <c r="C11">
        <f>COUNTIFS('Data Entry'!A:A,A11,'Data Entry'!L:L,"On Target")</f>
        <v/>
      </c>
      <c r="D11">
        <f>COUNTIFS('Data Entry'!A:A,A11,'Data Entry'!L:L,"Below Target")</f>
        <v/>
      </c>
      <c r="E11" s="2">
        <f>IF(B11=0,'',C11/B11)</f>
        <v/>
      </c>
    </row>
    <row r="12">
      <c r="A12" t="inlineStr">
        <is>
          <t>Accounts</t>
        </is>
      </c>
      <c r="B12">
        <f>COUNTIF('Data Entry'!A:A,A12)</f>
        <v/>
      </c>
      <c r="C12">
        <f>COUNTIFS('Data Entry'!A:A,A12,'Data Entry'!L:L,"On Target")</f>
        <v/>
      </c>
      <c r="D12">
        <f>COUNTIFS('Data Entry'!A:A,A12,'Data Entry'!L:L,"Below Target")</f>
        <v/>
      </c>
      <c r="E12" s="2">
        <f>IF(B12=0,'',C12/B12)</f>
        <v/>
      </c>
    </row>
    <row r="13">
      <c r="A13" t="inlineStr">
        <is>
          <t>School of Business and Humanities</t>
        </is>
      </c>
      <c r="B13">
        <f>COUNTIF('Data Entry'!A:A,A13)</f>
        <v/>
      </c>
      <c r="C13">
        <f>COUNTIFS('Data Entry'!A:A,A13,'Data Entry'!L:L,"On Target")</f>
        <v/>
      </c>
      <c r="D13">
        <f>COUNTIFS('Data Entry'!A:A,A13,'Data Entry'!L:L,"Below Target")</f>
        <v/>
      </c>
      <c r="E13" s="2">
        <f>IF(B13=0,'',C13/B13)</f>
        <v/>
      </c>
    </row>
    <row r="14">
      <c r="A14" t="inlineStr">
        <is>
          <t>School of Natural Science</t>
        </is>
      </c>
      <c r="B14">
        <f>COUNTIF('Data Entry'!A:A,A14)</f>
        <v/>
      </c>
      <c r="C14">
        <f>COUNTIFS('Data Entry'!A:A,A14,'Data Entry'!L:L,"On Target")</f>
        <v/>
      </c>
      <c r="D14">
        <f>COUNTIFS('Data Entry'!A:A,A14,'Data Entry'!L:L,"Below Target")</f>
        <v/>
      </c>
      <c r="E14" s="2">
        <f>IF(B14=0,'',C14/B14)</f>
        <v/>
      </c>
    </row>
    <row r="15">
      <c r="A15" t="inlineStr">
        <is>
          <t>School of Agriculture</t>
        </is>
      </c>
      <c r="B15">
        <f>COUNTIF('Data Entry'!A:A,A15)</f>
        <v/>
      </c>
      <c r="C15">
        <f>COUNTIFS('Data Entry'!A:A,A15,'Data Entry'!L:L,"On Target")</f>
        <v/>
      </c>
      <c r="D15">
        <f>COUNTIFS('Data Entry'!A:A,A15,'Data Entry'!L:L,"Below Target")</f>
        <v/>
      </c>
      <c r="E15" s="2">
        <f>IF(B15=0,'',C15/B15)</f>
        <v/>
      </c>
    </row>
    <row r="16">
      <c r="A16" t="inlineStr">
        <is>
          <t>School of Education</t>
        </is>
      </c>
      <c r="B16">
        <f>COUNTIF('Data Entry'!A:A,A16)</f>
        <v/>
      </c>
      <c r="C16">
        <f>COUNTIFS('Data Entry'!A:A,A16,'Data Entry'!L:L,"On Target")</f>
        <v/>
      </c>
      <c r="D16">
        <f>COUNTIFS('Data Entry'!A:A,A16,'Data Entry'!L:L,"Below Target")</f>
        <v/>
      </c>
      <c r="E16" s="2">
        <f>IF(B16=0,'',C16/B16)</f>
        <v/>
      </c>
    </row>
    <row r="17">
      <c r="A17" t="inlineStr">
        <is>
          <t>Quality Assurance/Auditors Office</t>
        </is>
      </c>
      <c r="B17">
        <f>COUNTIF('Data Entry'!A:A,A17)</f>
        <v/>
      </c>
      <c r="C17">
        <f>COUNTIFS('Data Entry'!A:A,A17,'Data Entry'!L:L,"On Target")</f>
        <v/>
      </c>
      <c r="D17">
        <f>COUNTIFS('Data Entry'!A:A,A17,'Data Entry'!L:L,"Below Target")</f>
        <v/>
      </c>
      <c r="E17" s="2">
        <f>IF(B17=0,'',C17/B17)</f>
        <v/>
      </c>
    </row>
    <row r="18">
      <c r="A18" t="inlineStr">
        <is>
          <t>Projects</t>
        </is>
      </c>
      <c r="B18">
        <f>COUNTIF('Data Entry'!A:A,A18)</f>
        <v/>
      </c>
      <c r="C18">
        <f>COUNTIFS('Data Entry'!A:A,A18,'Data Entry'!L:L,"On Target")</f>
        <v/>
      </c>
      <c r="D18">
        <f>COUNTIFS('Data Entry'!A:A,A18,'Data Entry'!L:L,"Below Target")</f>
        <v/>
      </c>
      <c r="E18" s="2">
        <f>IF(B18=0,'',C18/B18)</f>
        <v/>
      </c>
    </row>
    <row r="19">
      <c r="A19" t="inlineStr">
        <is>
          <t>Sports</t>
        </is>
      </c>
      <c r="B19">
        <f>COUNTIF('Data Entry'!A:A,A19)</f>
        <v/>
      </c>
      <c r="C19">
        <f>COUNTIFS('Data Entry'!A:A,A19,'Data Entry'!L:L,"On Target")</f>
        <v/>
      </c>
      <c r="D19">
        <f>COUNTIFS('Data Entry'!A:A,A19,'Data Entry'!L:L,"Below Target")</f>
        <v/>
      </c>
      <c r="E19" s="2">
        <f>IF(B19=0,'',C19/B19)</f>
        <v/>
      </c>
    </row>
    <row r="20">
      <c r="A20" t="inlineStr">
        <is>
          <t>Industrial Attachment</t>
        </is>
      </c>
      <c r="B20">
        <f>COUNTIF('Data Entry'!A:A,A20)</f>
        <v/>
      </c>
      <c r="C20">
        <f>COUNTIFS('Data Entry'!A:A,A20,'Data Entry'!L:L,"On Target")</f>
        <v/>
      </c>
      <c r="D20">
        <f>COUNTIFS('Data Entry'!A:A,A20,'Data Entry'!L:L,"Below Target")</f>
        <v/>
      </c>
      <c r="E20" s="2">
        <f>IF(B20=0,'',C20/B20)</f>
        <v/>
      </c>
    </row>
    <row r="21">
      <c r="A21" t="inlineStr">
        <is>
          <t>Rockmas Trust Schools</t>
        </is>
      </c>
      <c r="B21">
        <f>COUNTIF('Data Entry'!A:A,A21)</f>
        <v/>
      </c>
      <c r="C21">
        <f>COUNTIFS('Data Entry'!A:A,A21,'Data Entry'!L:L,"On Target")</f>
        <v/>
      </c>
      <c r="D21">
        <f>COUNTIFS('Data Entry'!A:A,A21,'Data Entry'!L:L,"Below Target")</f>
        <v/>
      </c>
      <c r="E21" s="2">
        <f>IF(B21=0,'',C21/B21)</f>
        <v/>
      </c>
    </row>
    <row r="22">
      <c r="A22" t="inlineStr">
        <is>
          <t>Research &amp; Innovation</t>
        </is>
      </c>
      <c r="B22">
        <f>COUNTIF('Data Entry'!A:A,A22)</f>
        <v/>
      </c>
      <c r="C22">
        <f>COUNTIFS('Data Entry'!A:A,A22,'Data Entry'!L:L,"On Target")</f>
        <v/>
      </c>
      <c r="D22">
        <f>COUNTIFS('Data Entry'!A:A,A22,'Data Entry'!L:L,"Below Target")</f>
        <v/>
      </c>
      <c r="E22" s="2">
        <f>IF(B22=0,'',C22/B22)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2026-05-27T13:06:06Z</dcterms:created>
  <dcterms:modified xsi:type="dcterms:W3CDTF">2026-05-27T13:06:06Z</dcterms:modified>
</cp:coreProperties>
</file>